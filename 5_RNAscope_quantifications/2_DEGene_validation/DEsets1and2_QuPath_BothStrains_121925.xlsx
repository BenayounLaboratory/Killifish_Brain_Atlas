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Volumes/BB_HQ_3/Brain_aging_Simons/Miscroscopy/Recurrent_DE/"/>
    </mc:Choice>
  </mc:AlternateContent>
  <xr:revisionPtr revIDLastSave="0" documentId="13_ncr:1_{1561037E-4607-D648-ABD0-CAA239EF389B}" xr6:coauthVersionLast="47" xr6:coauthVersionMax="47" xr10:uidLastSave="{00000000-0000-0000-0000-000000000000}"/>
  <bookViews>
    <workbookView xWindow="2980" yWindow="500" windowWidth="35820" windowHeight="22540" tabRatio="795" activeTab="1" xr2:uid="{AD09F5F6-4F04-284E-9CF7-1D11B2548959}"/>
  </bookViews>
  <sheets>
    <sheet name="GRZ_MasterSheet" sheetId="7" r:id="rId1"/>
    <sheet name="ZMZ_MasterSheet" sheetId="8" r:id="rId2"/>
    <sheet name="Master Sheet DEset1" sheetId="1" r:id="rId3"/>
    <sheet name="Master Sheet DEset2" sheetId="2" r:id="rId4"/>
    <sheet name="Deset1_Graphpad" sheetId="5" r:id="rId5"/>
    <sheet name="Raw QuPath DEset1" sheetId="3" r:id="rId6"/>
    <sheet name="Deset2_Graphpad" sheetId="6" r:id="rId7"/>
    <sheet name="Raw QuPath DEset2" sheetId="4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9" i="2" l="1"/>
  <c r="T59" i="2"/>
  <c r="S59" i="2"/>
  <c r="U58" i="2"/>
  <c r="T58" i="2"/>
  <c r="S58" i="2"/>
  <c r="U57" i="2"/>
  <c r="T57" i="2"/>
  <c r="S57" i="2"/>
  <c r="U56" i="2"/>
  <c r="T56" i="2"/>
  <c r="S56" i="2"/>
  <c r="U55" i="2"/>
  <c r="T55" i="2"/>
  <c r="S55" i="2"/>
  <c r="U54" i="2"/>
  <c r="T54" i="2"/>
  <c r="S54" i="2"/>
  <c r="U53" i="2"/>
  <c r="T53" i="2"/>
  <c r="S53" i="2"/>
  <c r="U52" i="2"/>
  <c r="T52" i="2"/>
  <c r="S52" i="2"/>
  <c r="U51" i="2"/>
  <c r="T51" i="2"/>
  <c r="S51" i="2"/>
  <c r="U50" i="2"/>
  <c r="T50" i="2"/>
  <c r="S50" i="2"/>
  <c r="U49" i="2"/>
  <c r="T49" i="2"/>
  <c r="S49" i="2"/>
  <c r="U48" i="2"/>
  <c r="T48" i="2"/>
  <c r="S48" i="2"/>
  <c r="U47" i="2"/>
  <c r="T47" i="2"/>
  <c r="S47" i="2"/>
  <c r="U46" i="2"/>
  <c r="T46" i="2"/>
  <c r="S46" i="2"/>
  <c r="U45" i="2"/>
  <c r="T45" i="2"/>
  <c r="S45" i="2"/>
  <c r="U44" i="2"/>
  <c r="T44" i="2"/>
  <c r="S44" i="2"/>
  <c r="U43" i="2"/>
  <c r="T43" i="2"/>
  <c r="S43" i="2"/>
  <c r="U42" i="2"/>
  <c r="T42" i="2"/>
  <c r="S42" i="2"/>
  <c r="U41" i="2"/>
  <c r="T41" i="2"/>
  <c r="S41" i="2"/>
  <c r="U40" i="2"/>
  <c r="T40" i="2"/>
  <c r="S40" i="2"/>
  <c r="U33" i="2"/>
  <c r="T33" i="2"/>
  <c r="S33" i="2"/>
  <c r="U32" i="2"/>
  <c r="T32" i="2"/>
  <c r="S32" i="2"/>
  <c r="U31" i="2"/>
  <c r="T31" i="2"/>
  <c r="S31" i="2"/>
  <c r="U30" i="2"/>
  <c r="T30" i="2"/>
  <c r="S30" i="2"/>
  <c r="U29" i="2"/>
  <c r="T29" i="2"/>
  <c r="S29" i="2"/>
  <c r="U28" i="2"/>
  <c r="T28" i="2"/>
  <c r="S28" i="2"/>
  <c r="U27" i="2"/>
  <c r="T27" i="2"/>
  <c r="S27" i="2"/>
  <c r="U26" i="2"/>
  <c r="T26" i="2"/>
  <c r="S26" i="2"/>
  <c r="U25" i="2"/>
  <c r="T25" i="2"/>
  <c r="S25" i="2"/>
  <c r="U24" i="2"/>
  <c r="T24" i="2"/>
  <c r="S24" i="2"/>
  <c r="U23" i="2"/>
  <c r="T23" i="2"/>
  <c r="S23" i="2"/>
  <c r="U22" i="2"/>
  <c r="T22" i="2"/>
  <c r="S22" i="2"/>
  <c r="U21" i="2"/>
  <c r="T21" i="2"/>
  <c r="S21" i="2"/>
  <c r="U20" i="2"/>
  <c r="T20" i="2"/>
  <c r="S20" i="2"/>
  <c r="U19" i="2"/>
  <c r="T19" i="2"/>
  <c r="S19" i="2"/>
  <c r="U18" i="2"/>
  <c r="T18" i="2"/>
  <c r="S18" i="2"/>
  <c r="U17" i="2"/>
  <c r="T17" i="2"/>
  <c r="S17" i="2"/>
  <c r="U16" i="2"/>
  <c r="T16" i="2"/>
  <c r="S16" i="2"/>
  <c r="U15" i="2"/>
  <c r="T15" i="2"/>
  <c r="S15" i="2"/>
  <c r="U14" i="2"/>
  <c r="T14" i="2"/>
  <c r="S14" i="2"/>
  <c r="U13" i="2"/>
  <c r="T13" i="2"/>
  <c r="S13" i="2"/>
  <c r="U12" i="2"/>
  <c r="T12" i="2"/>
  <c r="S12" i="2"/>
  <c r="U11" i="2"/>
  <c r="T11" i="2"/>
  <c r="S11" i="2"/>
  <c r="U10" i="2"/>
  <c r="T10" i="2"/>
  <c r="S10" i="2"/>
  <c r="U9" i="2"/>
  <c r="T9" i="2"/>
  <c r="S9" i="2"/>
  <c r="U8" i="2"/>
  <c r="T8" i="2"/>
  <c r="S8" i="2"/>
  <c r="U7" i="2"/>
  <c r="T7" i="2"/>
  <c r="S7" i="2"/>
  <c r="U6" i="2"/>
  <c r="T6" i="2"/>
  <c r="S6" i="2"/>
  <c r="U5" i="2"/>
  <c r="T5" i="2"/>
  <c r="S5" i="2"/>
  <c r="U4" i="2"/>
  <c r="T4" i="2"/>
  <c r="S4" i="2"/>
  <c r="U59" i="1"/>
  <c r="T59" i="1"/>
  <c r="S59" i="1"/>
  <c r="U58" i="1"/>
  <c r="T58" i="1"/>
  <c r="S58" i="1"/>
  <c r="U57" i="1"/>
  <c r="T57" i="1"/>
  <c r="S57" i="1"/>
  <c r="U56" i="1"/>
  <c r="T56" i="1"/>
  <c r="S56" i="1"/>
  <c r="U55" i="1"/>
  <c r="T55" i="1"/>
  <c r="S55" i="1"/>
  <c r="U54" i="1"/>
  <c r="T54" i="1"/>
  <c r="S54" i="1"/>
  <c r="U53" i="1"/>
  <c r="T53" i="1"/>
  <c r="S53" i="1"/>
  <c r="U52" i="1"/>
  <c r="T52" i="1"/>
  <c r="S52" i="1"/>
  <c r="U51" i="1"/>
  <c r="T51" i="1"/>
  <c r="S51" i="1"/>
  <c r="U50" i="1"/>
  <c r="T50" i="1"/>
  <c r="S50" i="1"/>
  <c r="U49" i="1"/>
  <c r="T49" i="1"/>
  <c r="S49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  <c r="V29" i="3" l="1"/>
  <c r="T29" i="3"/>
  <c r="R29" i="3"/>
  <c r="AB27" i="3"/>
  <c r="AA27" i="3"/>
  <c r="Z27" i="3"/>
  <c r="S27" i="3"/>
  <c r="AB26" i="3"/>
  <c r="AA26" i="3"/>
  <c r="Z26" i="3"/>
  <c r="S26" i="3"/>
  <c r="AB25" i="3"/>
  <c r="AA25" i="3"/>
  <c r="Z25" i="3"/>
  <c r="S25" i="3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S3" i="4"/>
  <c r="Y82" i="4"/>
  <c r="X82" i="4"/>
  <c r="W82" i="4"/>
  <c r="V82" i="4"/>
  <c r="U82" i="4"/>
  <c r="T82" i="4"/>
  <c r="R82" i="4"/>
  <c r="AB81" i="4"/>
  <c r="AA81" i="4"/>
  <c r="Z81" i="4"/>
  <c r="S81" i="4"/>
  <c r="AB80" i="4"/>
  <c r="AA80" i="4"/>
  <c r="Z80" i="4"/>
  <c r="S80" i="4"/>
  <c r="AB79" i="4"/>
  <c r="AA79" i="4"/>
  <c r="Z79" i="4"/>
  <c r="S79" i="4"/>
  <c r="Y78" i="4"/>
  <c r="X78" i="4"/>
  <c r="W78" i="4"/>
  <c r="V78" i="4"/>
  <c r="U78" i="4"/>
  <c r="T78" i="4"/>
  <c r="R78" i="4"/>
  <c r="AB77" i="4"/>
  <c r="AA77" i="4"/>
  <c r="Z77" i="4"/>
  <c r="S77" i="4"/>
  <c r="AB76" i="4"/>
  <c r="AA76" i="4"/>
  <c r="Z76" i="4"/>
  <c r="S76" i="4"/>
  <c r="AB75" i="4"/>
  <c r="AA75" i="4"/>
  <c r="Z75" i="4"/>
  <c r="S75" i="4"/>
  <c r="Y74" i="4"/>
  <c r="X74" i="4"/>
  <c r="W74" i="4"/>
  <c r="V74" i="4"/>
  <c r="U74" i="4"/>
  <c r="T74" i="4"/>
  <c r="R74" i="4"/>
  <c r="AB73" i="4"/>
  <c r="AA73" i="4"/>
  <c r="Z73" i="4"/>
  <c r="S73" i="4"/>
  <c r="AB72" i="4"/>
  <c r="AA72" i="4"/>
  <c r="Z72" i="4"/>
  <c r="S72" i="4"/>
  <c r="AB71" i="4"/>
  <c r="AA71" i="4"/>
  <c r="Z71" i="4"/>
  <c r="S71" i="4"/>
  <c r="Y70" i="4"/>
  <c r="X70" i="4"/>
  <c r="W70" i="4"/>
  <c r="V70" i="4"/>
  <c r="U70" i="4"/>
  <c r="T70" i="4"/>
  <c r="R70" i="4"/>
  <c r="AB69" i="4"/>
  <c r="AA69" i="4"/>
  <c r="Z69" i="4"/>
  <c r="S69" i="4"/>
  <c r="AB68" i="4"/>
  <c r="AA68" i="4"/>
  <c r="Z68" i="4"/>
  <c r="S68" i="4"/>
  <c r="S70" i="4" s="1"/>
  <c r="AB67" i="4"/>
  <c r="AA67" i="4"/>
  <c r="Z67" i="4"/>
  <c r="S67" i="4"/>
  <c r="Y66" i="4"/>
  <c r="X66" i="4"/>
  <c r="W66" i="4"/>
  <c r="V66" i="4"/>
  <c r="U66" i="4"/>
  <c r="T66" i="4"/>
  <c r="R66" i="4"/>
  <c r="AB65" i="4"/>
  <c r="AA65" i="4"/>
  <c r="Z65" i="4"/>
  <c r="S65" i="4"/>
  <c r="AB64" i="4"/>
  <c r="AA64" i="4"/>
  <c r="Z64" i="4"/>
  <c r="S64" i="4"/>
  <c r="AB63" i="4"/>
  <c r="AA63" i="4"/>
  <c r="Z63" i="4"/>
  <c r="S63" i="4"/>
  <c r="Y62" i="4"/>
  <c r="X62" i="4"/>
  <c r="W62" i="4"/>
  <c r="V62" i="4"/>
  <c r="U62" i="4"/>
  <c r="T62" i="4"/>
  <c r="R62" i="4"/>
  <c r="AB61" i="4"/>
  <c r="AA61" i="4"/>
  <c r="Z61" i="4"/>
  <c r="S61" i="4"/>
  <c r="AB60" i="4"/>
  <c r="AA60" i="4"/>
  <c r="Z60" i="4"/>
  <c r="S60" i="4"/>
  <c r="AB59" i="4"/>
  <c r="AA59" i="4"/>
  <c r="AA62" i="4" s="1"/>
  <c r="Z59" i="4"/>
  <c r="S59" i="4"/>
  <c r="Y58" i="4"/>
  <c r="X58" i="4"/>
  <c r="W58" i="4"/>
  <c r="V58" i="4"/>
  <c r="U58" i="4"/>
  <c r="T58" i="4"/>
  <c r="R58" i="4"/>
  <c r="AB57" i="4"/>
  <c r="AA57" i="4"/>
  <c r="Z57" i="4"/>
  <c r="S57" i="4"/>
  <c r="AB56" i="4"/>
  <c r="AA56" i="4"/>
  <c r="Z56" i="4"/>
  <c r="S56" i="4"/>
  <c r="AB55" i="4"/>
  <c r="AA55" i="4"/>
  <c r="Z55" i="4"/>
  <c r="S55" i="4"/>
  <c r="Y54" i="4"/>
  <c r="X54" i="4"/>
  <c r="W54" i="4"/>
  <c r="V54" i="4"/>
  <c r="U54" i="4"/>
  <c r="T54" i="4"/>
  <c r="R54" i="4"/>
  <c r="AB53" i="4"/>
  <c r="AA53" i="4"/>
  <c r="Z53" i="4"/>
  <c r="S53" i="4"/>
  <c r="AB52" i="4"/>
  <c r="AA52" i="4"/>
  <c r="Z52" i="4"/>
  <c r="S52" i="4"/>
  <c r="AB51" i="4"/>
  <c r="AA51" i="4"/>
  <c r="Z51" i="4"/>
  <c r="S51" i="4"/>
  <c r="Y50" i="4"/>
  <c r="X50" i="4"/>
  <c r="W50" i="4"/>
  <c r="V50" i="4"/>
  <c r="U50" i="4"/>
  <c r="T50" i="4"/>
  <c r="R50" i="4"/>
  <c r="AB49" i="4"/>
  <c r="AA49" i="4"/>
  <c r="Z49" i="4"/>
  <c r="S49" i="4"/>
  <c r="AB48" i="4"/>
  <c r="AA48" i="4"/>
  <c r="Z48" i="4"/>
  <c r="S48" i="4"/>
  <c r="AB47" i="4"/>
  <c r="AB50" i="4" s="1"/>
  <c r="AA47" i="4"/>
  <c r="Z47" i="4"/>
  <c r="S47" i="4"/>
  <c r="Y46" i="4"/>
  <c r="X46" i="4"/>
  <c r="W46" i="4"/>
  <c r="V46" i="4"/>
  <c r="U46" i="4"/>
  <c r="T46" i="4"/>
  <c r="R46" i="4"/>
  <c r="AB45" i="4"/>
  <c r="AA45" i="4"/>
  <c r="Z45" i="4"/>
  <c r="S45" i="4"/>
  <c r="AB44" i="4"/>
  <c r="AA44" i="4"/>
  <c r="Z44" i="4"/>
  <c r="S44" i="4"/>
  <c r="AB43" i="4"/>
  <c r="AA43" i="4"/>
  <c r="Z43" i="4"/>
  <c r="S43" i="4"/>
  <c r="Y42" i="4"/>
  <c r="X42" i="4"/>
  <c r="W42" i="4"/>
  <c r="V42" i="4"/>
  <c r="U42" i="4"/>
  <c r="T42" i="4"/>
  <c r="R42" i="4"/>
  <c r="AB41" i="4"/>
  <c r="AA41" i="4"/>
  <c r="Z41" i="4"/>
  <c r="S41" i="4"/>
  <c r="AB40" i="4"/>
  <c r="AA40" i="4"/>
  <c r="Z40" i="4"/>
  <c r="S40" i="4"/>
  <c r="AB39" i="4"/>
  <c r="AA39" i="4"/>
  <c r="Z39" i="4"/>
  <c r="S39" i="4"/>
  <c r="Y38" i="4"/>
  <c r="X38" i="4"/>
  <c r="W38" i="4"/>
  <c r="V38" i="4"/>
  <c r="U38" i="4"/>
  <c r="T38" i="4"/>
  <c r="R38" i="4"/>
  <c r="AB37" i="4"/>
  <c r="AA37" i="4"/>
  <c r="Z37" i="4"/>
  <c r="S37" i="4"/>
  <c r="AB36" i="4"/>
  <c r="AA36" i="4"/>
  <c r="Z36" i="4"/>
  <c r="S36" i="4"/>
  <c r="AB35" i="4"/>
  <c r="AA35" i="4"/>
  <c r="Z35" i="4"/>
  <c r="S35" i="4"/>
  <c r="Y34" i="4"/>
  <c r="X34" i="4"/>
  <c r="W34" i="4"/>
  <c r="V34" i="4"/>
  <c r="U34" i="4"/>
  <c r="T34" i="4"/>
  <c r="R34" i="4"/>
  <c r="AB33" i="4"/>
  <c r="AA33" i="4"/>
  <c r="Z33" i="4"/>
  <c r="S33" i="4"/>
  <c r="AB32" i="4"/>
  <c r="AA32" i="4"/>
  <c r="Z32" i="4"/>
  <c r="S32" i="4"/>
  <c r="AB31" i="4"/>
  <c r="AA31" i="4"/>
  <c r="Z31" i="4"/>
  <c r="S31" i="4"/>
  <c r="S34" i="4" s="1"/>
  <c r="Y30" i="4"/>
  <c r="X30" i="4"/>
  <c r="W30" i="4"/>
  <c r="V30" i="4"/>
  <c r="U30" i="4"/>
  <c r="T30" i="4"/>
  <c r="R30" i="4"/>
  <c r="AB29" i="4"/>
  <c r="AA29" i="4"/>
  <c r="Z29" i="4"/>
  <c r="S29" i="4"/>
  <c r="AB28" i="4"/>
  <c r="AA28" i="4"/>
  <c r="Z28" i="4"/>
  <c r="S28" i="4"/>
  <c r="AB27" i="4"/>
  <c r="AB30" i="4" s="1"/>
  <c r="AA27" i="4"/>
  <c r="Z27" i="4"/>
  <c r="Z30" i="4" s="1"/>
  <c r="S27" i="4"/>
  <c r="Y26" i="4"/>
  <c r="X26" i="4"/>
  <c r="W26" i="4"/>
  <c r="V26" i="4"/>
  <c r="U26" i="4"/>
  <c r="T26" i="4"/>
  <c r="R26" i="4"/>
  <c r="AB25" i="4"/>
  <c r="AA25" i="4"/>
  <c r="Z25" i="4"/>
  <c r="S25" i="4"/>
  <c r="AB24" i="4"/>
  <c r="AA24" i="4"/>
  <c r="Z24" i="4"/>
  <c r="S24" i="4"/>
  <c r="AB23" i="4"/>
  <c r="AA23" i="4"/>
  <c r="Z23" i="4"/>
  <c r="S23" i="4"/>
  <c r="Y22" i="4"/>
  <c r="X22" i="4"/>
  <c r="W22" i="4"/>
  <c r="V22" i="4"/>
  <c r="U22" i="4"/>
  <c r="T22" i="4"/>
  <c r="R22" i="4"/>
  <c r="AB21" i="4"/>
  <c r="AA21" i="4"/>
  <c r="Z21" i="4"/>
  <c r="S21" i="4"/>
  <c r="AB20" i="4"/>
  <c r="AA20" i="4"/>
  <c r="Z20" i="4"/>
  <c r="S20" i="4"/>
  <c r="AB19" i="4"/>
  <c r="AA19" i="4"/>
  <c r="Z19" i="4"/>
  <c r="S19" i="4"/>
  <c r="Y18" i="4"/>
  <c r="X18" i="4"/>
  <c r="W18" i="4"/>
  <c r="V18" i="4"/>
  <c r="U18" i="4"/>
  <c r="T18" i="4"/>
  <c r="R18" i="4"/>
  <c r="AB17" i="4"/>
  <c r="AA17" i="4"/>
  <c r="Z17" i="4"/>
  <c r="S17" i="4"/>
  <c r="AB16" i="4"/>
  <c r="AA16" i="4"/>
  <c r="Z16" i="4"/>
  <c r="S16" i="4"/>
  <c r="AB15" i="4"/>
  <c r="AA15" i="4"/>
  <c r="AA18" i="4" s="1"/>
  <c r="Z15" i="4"/>
  <c r="S15" i="4"/>
  <c r="Y14" i="4"/>
  <c r="X14" i="4"/>
  <c r="W14" i="4"/>
  <c r="V14" i="4"/>
  <c r="U14" i="4"/>
  <c r="T14" i="4"/>
  <c r="R14" i="4"/>
  <c r="AB13" i="4"/>
  <c r="AA13" i="4"/>
  <c r="Z13" i="4"/>
  <c r="S13" i="4"/>
  <c r="AB12" i="4"/>
  <c r="AA12" i="4"/>
  <c r="Z12" i="4"/>
  <c r="S12" i="4"/>
  <c r="AB11" i="4"/>
  <c r="AA11" i="4"/>
  <c r="Z11" i="4"/>
  <c r="S11" i="4"/>
  <c r="S14" i="4" s="1"/>
  <c r="Y10" i="4"/>
  <c r="X10" i="4"/>
  <c r="W10" i="4"/>
  <c r="V10" i="4"/>
  <c r="U10" i="4"/>
  <c r="T10" i="4"/>
  <c r="R10" i="4"/>
  <c r="AB9" i="4"/>
  <c r="AA9" i="4"/>
  <c r="Z9" i="4"/>
  <c r="S9" i="4"/>
  <c r="AB8" i="4"/>
  <c r="AA8" i="4"/>
  <c r="Z8" i="4"/>
  <c r="S8" i="4"/>
  <c r="AB7" i="4"/>
  <c r="AB10" i="4" s="1"/>
  <c r="AA7" i="4"/>
  <c r="Z7" i="4"/>
  <c r="Z10" i="4" s="1"/>
  <c r="S7" i="4"/>
  <c r="Y6" i="4"/>
  <c r="X6" i="4"/>
  <c r="W6" i="4"/>
  <c r="V6" i="4"/>
  <c r="U6" i="4"/>
  <c r="T6" i="4"/>
  <c r="R6" i="4"/>
  <c r="AB5" i="4"/>
  <c r="AA5" i="4"/>
  <c r="Z5" i="4"/>
  <c r="S5" i="4"/>
  <c r="AB4" i="4"/>
  <c r="AA4" i="4"/>
  <c r="Z4" i="4"/>
  <c r="S4" i="4"/>
  <c r="AB3" i="4"/>
  <c r="AA3" i="4"/>
  <c r="Z3" i="4"/>
  <c r="Y85" i="3"/>
  <c r="X85" i="3"/>
  <c r="W85" i="3"/>
  <c r="V85" i="3"/>
  <c r="U85" i="3"/>
  <c r="T85" i="3"/>
  <c r="R85" i="3"/>
  <c r="AB84" i="3"/>
  <c r="AA84" i="3"/>
  <c r="Z84" i="3"/>
  <c r="S84" i="3"/>
  <c r="AB83" i="3"/>
  <c r="AA83" i="3"/>
  <c r="Z83" i="3"/>
  <c r="S83" i="3"/>
  <c r="AB82" i="3"/>
  <c r="AA82" i="3"/>
  <c r="Z82" i="3"/>
  <c r="S82" i="3"/>
  <c r="Y81" i="3"/>
  <c r="X81" i="3"/>
  <c r="W81" i="3"/>
  <c r="V81" i="3"/>
  <c r="U81" i="3"/>
  <c r="T81" i="3"/>
  <c r="R81" i="3"/>
  <c r="AB80" i="3"/>
  <c r="AA80" i="3"/>
  <c r="Z80" i="3"/>
  <c r="S80" i="3"/>
  <c r="AB79" i="3"/>
  <c r="AA79" i="3"/>
  <c r="Z79" i="3"/>
  <c r="S79" i="3"/>
  <c r="AB78" i="3"/>
  <c r="AA78" i="3"/>
  <c r="Z78" i="3"/>
  <c r="Z81" i="3" s="1"/>
  <c r="S78" i="3"/>
  <c r="Y77" i="3"/>
  <c r="X77" i="3"/>
  <c r="W77" i="3"/>
  <c r="V77" i="3"/>
  <c r="U77" i="3"/>
  <c r="T77" i="3"/>
  <c r="R77" i="3"/>
  <c r="AB76" i="3"/>
  <c r="AA76" i="3"/>
  <c r="Z76" i="3"/>
  <c r="S76" i="3"/>
  <c r="AB75" i="3"/>
  <c r="AA75" i="3"/>
  <c r="Z75" i="3"/>
  <c r="S75" i="3"/>
  <c r="AB74" i="3"/>
  <c r="AA74" i="3"/>
  <c r="Z74" i="3"/>
  <c r="S74" i="3"/>
  <c r="Y73" i="3"/>
  <c r="X73" i="3"/>
  <c r="W73" i="3"/>
  <c r="V73" i="3"/>
  <c r="U73" i="3"/>
  <c r="T73" i="3"/>
  <c r="R73" i="3"/>
  <c r="AB72" i="3"/>
  <c r="AA72" i="3"/>
  <c r="Z72" i="3"/>
  <c r="S72" i="3"/>
  <c r="AB71" i="3"/>
  <c r="AA71" i="3"/>
  <c r="Z71" i="3"/>
  <c r="S71" i="3"/>
  <c r="AB70" i="3"/>
  <c r="AA70" i="3"/>
  <c r="Z70" i="3"/>
  <c r="S70" i="3"/>
  <c r="Y69" i="3"/>
  <c r="X69" i="3"/>
  <c r="W69" i="3"/>
  <c r="V69" i="3"/>
  <c r="U69" i="3"/>
  <c r="T69" i="3"/>
  <c r="R69" i="3"/>
  <c r="AB68" i="3"/>
  <c r="AA68" i="3"/>
  <c r="Z68" i="3"/>
  <c r="S68" i="3"/>
  <c r="AB67" i="3"/>
  <c r="AA67" i="3"/>
  <c r="Z67" i="3"/>
  <c r="S67" i="3"/>
  <c r="AB66" i="3"/>
  <c r="AA66" i="3"/>
  <c r="Z66" i="3"/>
  <c r="S66" i="3"/>
  <c r="Y65" i="3"/>
  <c r="X65" i="3"/>
  <c r="W65" i="3"/>
  <c r="V65" i="3"/>
  <c r="U65" i="3"/>
  <c r="T65" i="3"/>
  <c r="R65" i="3"/>
  <c r="AB64" i="3"/>
  <c r="AA64" i="3"/>
  <c r="Z64" i="3"/>
  <c r="S64" i="3"/>
  <c r="AB63" i="3"/>
  <c r="AA63" i="3"/>
  <c r="Z63" i="3"/>
  <c r="S63" i="3"/>
  <c r="AB62" i="3"/>
  <c r="AA62" i="3"/>
  <c r="Z62" i="3"/>
  <c r="S62" i="3"/>
  <c r="Y61" i="3"/>
  <c r="X61" i="3"/>
  <c r="W61" i="3"/>
  <c r="V61" i="3"/>
  <c r="U61" i="3"/>
  <c r="T61" i="3"/>
  <c r="R61" i="3"/>
  <c r="AB60" i="3"/>
  <c r="AA60" i="3"/>
  <c r="Z60" i="3"/>
  <c r="S60" i="3"/>
  <c r="AB59" i="3"/>
  <c r="AA59" i="3"/>
  <c r="Z59" i="3"/>
  <c r="S59" i="3"/>
  <c r="AB58" i="3"/>
  <c r="AA58" i="3"/>
  <c r="Z58" i="3"/>
  <c r="S58" i="3"/>
  <c r="Y57" i="3"/>
  <c r="X57" i="3"/>
  <c r="W57" i="3"/>
  <c r="V57" i="3"/>
  <c r="U57" i="3"/>
  <c r="T57" i="3"/>
  <c r="R57" i="3"/>
  <c r="AB56" i="3"/>
  <c r="AA56" i="3"/>
  <c r="Z56" i="3"/>
  <c r="S56" i="3"/>
  <c r="AB55" i="3"/>
  <c r="AA55" i="3"/>
  <c r="Z55" i="3"/>
  <c r="S55" i="3"/>
  <c r="AB54" i="3"/>
  <c r="AA54" i="3"/>
  <c r="Z54" i="3"/>
  <c r="S54" i="3"/>
  <c r="Y53" i="3"/>
  <c r="X53" i="3"/>
  <c r="W53" i="3"/>
  <c r="V53" i="3"/>
  <c r="U53" i="3"/>
  <c r="T53" i="3"/>
  <c r="R53" i="3"/>
  <c r="AB52" i="3"/>
  <c r="AA52" i="3"/>
  <c r="Z52" i="3"/>
  <c r="S52" i="3"/>
  <c r="AB51" i="3"/>
  <c r="AA51" i="3"/>
  <c r="Z51" i="3"/>
  <c r="S51" i="3"/>
  <c r="AB50" i="3"/>
  <c r="AA50" i="3"/>
  <c r="AA53" i="3" s="1"/>
  <c r="Z50" i="3"/>
  <c r="S50" i="3"/>
  <c r="Y49" i="3"/>
  <c r="X49" i="3"/>
  <c r="W49" i="3"/>
  <c r="V49" i="3"/>
  <c r="U49" i="3"/>
  <c r="T49" i="3"/>
  <c r="R49" i="3"/>
  <c r="AB48" i="3"/>
  <c r="AA48" i="3"/>
  <c r="Z48" i="3"/>
  <c r="S48" i="3"/>
  <c r="AB47" i="3"/>
  <c r="AA47" i="3"/>
  <c r="Z47" i="3"/>
  <c r="S47" i="3"/>
  <c r="AB46" i="3"/>
  <c r="AA46" i="3"/>
  <c r="Z46" i="3"/>
  <c r="S46" i="3"/>
  <c r="Y45" i="3"/>
  <c r="X45" i="3"/>
  <c r="W45" i="3"/>
  <c r="V45" i="3"/>
  <c r="U45" i="3"/>
  <c r="T45" i="3"/>
  <c r="R45" i="3"/>
  <c r="AB44" i="3"/>
  <c r="AA44" i="3"/>
  <c r="Z44" i="3"/>
  <c r="S44" i="3"/>
  <c r="AB43" i="3"/>
  <c r="AA43" i="3"/>
  <c r="Z43" i="3"/>
  <c r="S43" i="3"/>
  <c r="AB42" i="3"/>
  <c r="AA42" i="3"/>
  <c r="Z42" i="3"/>
  <c r="S42" i="3"/>
  <c r="Y41" i="3"/>
  <c r="X41" i="3"/>
  <c r="W41" i="3"/>
  <c r="V41" i="3"/>
  <c r="U41" i="3"/>
  <c r="T41" i="3"/>
  <c r="R41" i="3"/>
  <c r="AB40" i="3"/>
  <c r="AA40" i="3"/>
  <c r="Z40" i="3"/>
  <c r="S40" i="3"/>
  <c r="AB39" i="3"/>
  <c r="AA39" i="3"/>
  <c r="Z39" i="3"/>
  <c r="S39" i="3"/>
  <c r="AB38" i="3"/>
  <c r="AA38" i="3"/>
  <c r="Z38" i="3"/>
  <c r="S38" i="3"/>
  <c r="Y37" i="3"/>
  <c r="X37" i="3"/>
  <c r="W37" i="3"/>
  <c r="V37" i="3"/>
  <c r="U37" i="3"/>
  <c r="T37" i="3"/>
  <c r="R37" i="3"/>
  <c r="AB36" i="3"/>
  <c r="AA36" i="3"/>
  <c r="Z36" i="3"/>
  <c r="S36" i="3"/>
  <c r="AB35" i="3"/>
  <c r="AA35" i="3"/>
  <c r="Z35" i="3"/>
  <c r="S35" i="3"/>
  <c r="AB34" i="3"/>
  <c r="AA34" i="3"/>
  <c r="Z34" i="3"/>
  <c r="S34" i="3"/>
  <c r="Y33" i="3"/>
  <c r="X33" i="3"/>
  <c r="W33" i="3"/>
  <c r="V33" i="3"/>
  <c r="U33" i="3"/>
  <c r="T33" i="3"/>
  <c r="R33" i="3"/>
  <c r="AB32" i="3"/>
  <c r="AA32" i="3"/>
  <c r="Z32" i="3"/>
  <c r="S32" i="3"/>
  <c r="AB31" i="3"/>
  <c r="AA31" i="3"/>
  <c r="Z31" i="3"/>
  <c r="S31" i="3"/>
  <c r="AB30" i="3"/>
  <c r="AA30" i="3"/>
  <c r="Z30" i="3"/>
  <c r="S30" i="3"/>
  <c r="Y29" i="3"/>
  <c r="X29" i="3"/>
  <c r="W29" i="3"/>
  <c r="U29" i="3"/>
  <c r="AB28" i="3"/>
  <c r="AA28" i="3"/>
  <c r="Z28" i="3"/>
  <c r="S28" i="3"/>
  <c r="AB24" i="3"/>
  <c r="AA24" i="3"/>
  <c r="Z24" i="3"/>
  <c r="S24" i="3"/>
  <c r="AB23" i="3"/>
  <c r="AA23" i="3"/>
  <c r="Z23" i="3"/>
  <c r="Z29" i="3" s="1"/>
  <c r="S23" i="3"/>
  <c r="Y22" i="3"/>
  <c r="X22" i="3"/>
  <c r="W22" i="3"/>
  <c r="V22" i="3"/>
  <c r="U22" i="3"/>
  <c r="T22" i="3"/>
  <c r="R22" i="3"/>
  <c r="AB21" i="3"/>
  <c r="AA21" i="3"/>
  <c r="Z21" i="3"/>
  <c r="S21" i="3"/>
  <c r="AB20" i="3"/>
  <c r="AA20" i="3"/>
  <c r="Z20" i="3"/>
  <c r="S20" i="3"/>
  <c r="AB19" i="3"/>
  <c r="AA19" i="3"/>
  <c r="Z19" i="3"/>
  <c r="S19" i="3"/>
  <c r="Y18" i="3"/>
  <c r="X18" i="3"/>
  <c r="W18" i="3"/>
  <c r="V18" i="3"/>
  <c r="U18" i="3"/>
  <c r="T18" i="3"/>
  <c r="R18" i="3"/>
  <c r="AB17" i="3"/>
  <c r="AA17" i="3"/>
  <c r="Z17" i="3"/>
  <c r="S17" i="3"/>
  <c r="AB16" i="3"/>
  <c r="AA16" i="3"/>
  <c r="Z16" i="3"/>
  <c r="S16" i="3"/>
  <c r="AB15" i="3"/>
  <c r="AA15" i="3"/>
  <c r="Z15" i="3"/>
  <c r="S15" i="3"/>
  <c r="Y14" i="3"/>
  <c r="X14" i="3"/>
  <c r="W14" i="3"/>
  <c r="V14" i="3"/>
  <c r="U14" i="3"/>
  <c r="T14" i="3"/>
  <c r="R14" i="3"/>
  <c r="AB13" i="3"/>
  <c r="AA13" i="3"/>
  <c r="Z13" i="3"/>
  <c r="S13" i="3"/>
  <c r="AB12" i="3"/>
  <c r="AA12" i="3"/>
  <c r="Z12" i="3"/>
  <c r="S12" i="3"/>
  <c r="AB11" i="3"/>
  <c r="AA11" i="3"/>
  <c r="Z11" i="3"/>
  <c r="S11" i="3"/>
  <c r="Y10" i="3"/>
  <c r="X10" i="3"/>
  <c r="W10" i="3"/>
  <c r="V10" i="3"/>
  <c r="U10" i="3"/>
  <c r="T10" i="3"/>
  <c r="R10" i="3"/>
  <c r="AB9" i="3"/>
  <c r="AA9" i="3"/>
  <c r="Z9" i="3"/>
  <c r="S9" i="3"/>
  <c r="AB8" i="3"/>
  <c r="AA8" i="3"/>
  <c r="Z8" i="3"/>
  <c r="S8" i="3"/>
  <c r="AB7" i="3"/>
  <c r="AA7" i="3"/>
  <c r="Z7" i="3"/>
  <c r="Z10" i="3" s="1"/>
  <c r="S7" i="3"/>
  <c r="Y6" i="3"/>
  <c r="X6" i="3"/>
  <c r="W6" i="3"/>
  <c r="V6" i="3"/>
  <c r="U6" i="3"/>
  <c r="T6" i="3"/>
  <c r="R6" i="3"/>
  <c r="AB5" i="3"/>
  <c r="AA5" i="3"/>
  <c r="Z5" i="3"/>
  <c r="S5" i="3"/>
  <c r="AB4" i="3"/>
  <c r="AA4" i="3"/>
  <c r="Z4" i="3"/>
  <c r="S4" i="3"/>
  <c r="AB3" i="3"/>
  <c r="AA3" i="3"/>
  <c r="Z3" i="3"/>
  <c r="S3" i="3"/>
  <c r="D12" i="6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21" i="2"/>
  <c r="D94" i="4"/>
  <c r="D95" i="4"/>
  <c r="D96" i="4"/>
  <c r="D3" i="3"/>
  <c r="Z22" i="3" l="1"/>
  <c r="Z18" i="3"/>
  <c r="AA18" i="3"/>
  <c r="AB61" i="3"/>
  <c r="Z53" i="3"/>
  <c r="Z41" i="3"/>
  <c r="AB29" i="3"/>
  <c r="AA85" i="3"/>
  <c r="AB85" i="3"/>
  <c r="AA22" i="3"/>
  <c r="Z69" i="3"/>
  <c r="Z14" i="3"/>
  <c r="AB57" i="3"/>
  <c r="S61" i="3"/>
  <c r="AA69" i="3"/>
  <c r="Z73" i="3"/>
  <c r="AB81" i="3"/>
  <c r="AB65" i="3"/>
  <c r="AB10" i="3"/>
  <c r="Z45" i="3"/>
  <c r="AB37" i="3"/>
  <c r="S41" i="3"/>
  <c r="AA49" i="3"/>
  <c r="Z61" i="3"/>
  <c r="AB69" i="3"/>
  <c r="AA81" i="3"/>
  <c r="S74" i="4"/>
  <c r="AA50" i="4"/>
  <c r="Z22" i="4"/>
  <c r="AB42" i="4"/>
  <c r="Z50" i="4"/>
  <c r="AB58" i="4"/>
  <c r="S62" i="4"/>
  <c r="Z66" i="4"/>
  <c r="AA70" i="4"/>
  <c r="AA10" i="4"/>
  <c r="AA42" i="4"/>
  <c r="AA74" i="4"/>
  <c r="S10" i="4"/>
  <c r="Z78" i="4"/>
  <c r="AB46" i="4"/>
  <c r="S50" i="4"/>
  <c r="Z70" i="4"/>
  <c r="AB78" i="4"/>
  <c r="S82" i="4"/>
  <c r="AB74" i="4"/>
  <c r="S42" i="4"/>
  <c r="S66" i="4"/>
  <c r="Z6" i="4"/>
  <c r="Z26" i="4"/>
  <c r="AB34" i="4"/>
  <c r="AA54" i="4"/>
  <c r="AA82" i="4"/>
  <c r="AA6" i="4"/>
  <c r="AB14" i="4"/>
  <c r="S18" i="4"/>
  <c r="AA26" i="4"/>
  <c r="Z38" i="4"/>
  <c r="Z46" i="4"/>
  <c r="AB82" i="4"/>
  <c r="AB6" i="4"/>
  <c r="AB26" i="4"/>
  <c r="S30" i="4"/>
  <c r="Z34" i="4"/>
  <c r="AA38" i="4"/>
  <c r="Z54" i="4"/>
  <c r="AB62" i="4"/>
  <c r="AB70" i="4"/>
  <c r="S78" i="4"/>
  <c r="S38" i="4"/>
  <c r="S22" i="4"/>
  <c r="AA30" i="4"/>
  <c r="S6" i="4"/>
  <c r="Z14" i="4"/>
  <c r="AA22" i="4"/>
  <c r="AA46" i="4"/>
  <c r="AB54" i="4"/>
  <c r="S58" i="4"/>
  <c r="Z62" i="4"/>
  <c r="AA78" i="4"/>
  <c r="S54" i="4"/>
  <c r="AB18" i="4"/>
  <c r="AB38" i="4"/>
  <c r="S46" i="4"/>
  <c r="AA14" i="4"/>
  <c r="AB22" i="4"/>
  <c r="S26" i="4"/>
  <c r="AA34" i="4"/>
  <c r="Z42" i="4"/>
  <c r="Z58" i="4"/>
  <c r="AA66" i="4"/>
  <c r="Z74" i="4"/>
  <c r="Z18" i="4"/>
  <c r="AA58" i="4"/>
  <c r="AB66" i="4"/>
  <c r="Z82" i="4"/>
  <c r="AA33" i="3"/>
  <c r="S53" i="3"/>
  <c r="S6" i="3"/>
  <c r="AA14" i="3"/>
  <c r="AB22" i="3"/>
  <c r="S29" i="3"/>
  <c r="Z37" i="3"/>
  <c r="AB45" i="3"/>
  <c r="S49" i="3"/>
  <c r="Z85" i="3"/>
  <c r="Z6" i="3"/>
  <c r="AB14" i="3"/>
  <c r="AA37" i="3"/>
  <c r="Z49" i="3"/>
  <c r="AA57" i="3"/>
  <c r="AB77" i="3"/>
  <c r="AB33" i="3"/>
  <c r="AB49" i="3"/>
  <c r="S77" i="3"/>
  <c r="S73" i="3"/>
  <c r="S18" i="3"/>
  <c r="S22" i="3"/>
  <c r="S14" i="3"/>
  <c r="S57" i="3"/>
  <c r="S85" i="3"/>
  <c r="S81" i="3"/>
  <c r="AA6" i="3"/>
  <c r="S33" i="3"/>
  <c r="AA41" i="3"/>
  <c r="S65" i="3"/>
  <c r="AA73" i="3"/>
  <c r="AB6" i="3"/>
  <c r="S10" i="3"/>
  <c r="AA29" i="3"/>
  <c r="Z33" i="3"/>
  <c r="AB41" i="3"/>
  <c r="S45" i="3"/>
  <c r="AA61" i="3"/>
  <c r="Z65" i="3"/>
  <c r="AB73" i="3"/>
  <c r="Z57" i="3"/>
  <c r="AA65" i="3"/>
  <c r="Z77" i="3"/>
  <c r="AA10" i="3"/>
  <c r="AB18" i="3"/>
  <c r="S37" i="3"/>
  <c r="AA45" i="3"/>
  <c r="AB53" i="3"/>
  <c r="S69" i="3"/>
  <c r="AA77" i="3"/>
  <c r="D14" i="6"/>
  <c r="Z22" i="6" s="1"/>
  <c r="C14" i="6"/>
  <c r="D13" i="6"/>
  <c r="AF21" i="6" s="1"/>
  <c r="C13" i="6"/>
  <c r="V20" i="6"/>
  <c r="C12" i="6"/>
  <c r="D15" i="6"/>
  <c r="U23" i="6" s="1"/>
  <c r="D13" i="5"/>
  <c r="V21" i="5" s="1"/>
  <c r="D14" i="5"/>
  <c r="AF22" i="5" s="1"/>
  <c r="C14" i="5"/>
  <c r="R22" i="5" s="1"/>
  <c r="C13" i="5"/>
  <c r="AD21" i="5" s="1"/>
  <c r="D12" i="5"/>
  <c r="AA20" i="5" s="1"/>
  <c r="C12" i="5"/>
  <c r="S20" i="5" s="1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5" i="1"/>
  <c r="F4" i="1"/>
  <c r="J74" i="3"/>
  <c r="I74" i="3"/>
  <c r="H74" i="3"/>
  <c r="G74" i="3"/>
  <c r="F74" i="3"/>
  <c r="E74" i="3"/>
  <c r="C74" i="3"/>
  <c r="M73" i="3"/>
  <c r="L73" i="3"/>
  <c r="K73" i="3"/>
  <c r="D73" i="3"/>
  <c r="M72" i="3"/>
  <c r="L72" i="3"/>
  <c r="K72" i="3"/>
  <c r="D72" i="3"/>
  <c r="M71" i="3"/>
  <c r="L71" i="3"/>
  <c r="K71" i="3"/>
  <c r="D71" i="3"/>
  <c r="J125" i="4"/>
  <c r="I125" i="4"/>
  <c r="H125" i="4"/>
  <c r="G125" i="4"/>
  <c r="F125" i="4"/>
  <c r="E125" i="4"/>
  <c r="C125" i="4"/>
  <c r="M124" i="4"/>
  <c r="L124" i="4"/>
  <c r="K124" i="4"/>
  <c r="D124" i="4"/>
  <c r="M123" i="4"/>
  <c r="L123" i="4"/>
  <c r="K123" i="4"/>
  <c r="D123" i="4"/>
  <c r="M122" i="4"/>
  <c r="L122" i="4"/>
  <c r="K122" i="4"/>
  <c r="D122" i="4"/>
  <c r="J121" i="4"/>
  <c r="I121" i="4"/>
  <c r="H121" i="4"/>
  <c r="G121" i="4"/>
  <c r="F121" i="4"/>
  <c r="E121" i="4"/>
  <c r="C121" i="4"/>
  <c r="M120" i="4"/>
  <c r="L120" i="4"/>
  <c r="K120" i="4"/>
  <c r="D120" i="4"/>
  <c r="M119" i="4"/>
  <c r="L119" i="4"/>
  <c r="K119" i="4"/>
  <c r="D119" i="4"/>
  <c r="M118" i="4"/>
  <c r="L118" i="4"/>
  <c r="K118" i="4"/>
  <c r="D118" i="4"/>
  <c r="J117" i="4"/>
  <c r="I117" i="4"/>
  <c r="H117" i="4"/>
  <c r="G117" i="4"/>
  <c r="F117" i="4"/>
  <c r="E117" i="4"/>
  <c r="C117" i="4"/>
  <c r="M116" i="4"/>
  <c r="L116" i="4"/>
  <c r="K116" i="4"/>
  <c r="D116" i="4"/>
  <c r="M115" i="4"/>
  <c r="L115" i="4"/>
  <c r="K115" i="4"/>
  <c r="D115" i="4"/>
  <c r="M114" i="4"/>
  <c r="L114" i="4"/>
  <c r="K114" i="4"/>
  <c r="D114" i="4"/>
  <c r="J113" i="4"/>
  <c r="I113" i="4"/>
  <c r="H113" i="4"/>
  <c r="G113" i="4"/>
  <c r="F113" i="4"/>
  <c r="E113" i="4"/>
  <c r="C113" i="4"/>
  <c r="M112" i="4"/>
  <c r="L112" i="4"/>
  <c r="K112" i="4"/>
  <c r="D112" i="4"/>
  <c r="M111" i="4"/>
  <c r="L111" i="4"/>
  <c r="K111" i="4"/>
  <c r="D111" i="4"/>
  <c r="M110" i="4"/>
  <c r="L110" i="4"/>
  <c r="K110" i="4"/>
  <c r="D110" i="4"/>
  <c r="J109" i="4"/>
  <c r="I109" i="4"/>
  <c r="H109" i="4"/>
  <c r="G109" i="4"/>
  <c r="F109" i="4"/>
  <c r="E109" i="4"/>
  <c r="C109" i="4"/>
  <c r="M108" i="4"/>
  <c r="L108" i="4"/>
  <c r="K108" i="4"/>
  <c r="D108" i="4"/>
  <c r="M107" i="4"/>
  <c r="L107" i="4"/>
  <c r="K107" i="4"/>
  <c r="D107" i="4"/>
  <c r="M106" i="4"/>
  <c r="M109" i="4" s="1"/>
  <c r="L106" i="4"/>
  <c r="K106" i="4"/>
  <c r="D106" i="4"/>
  <c r="J105" i="4"/>
  <c r="I105" i="4"/>
  <c r="H105" i="4"/>
  <c r="G105" i="4"/>
  <c r="F105" i="4"/>
  <c r="E105" i="4"/>
  <c r="C105" i="4"/>
  <c r="M104" i="4"/>
  <c r="L104" i="4"/>
  <c r="K104" i="4"/>
  <c r="D104" i="4"/>
  <c r="M103" i="4"/>
  <c r="L103" i="4"/>
  <c r="K103" i="4"/>
  <c r="D103" i="4"/>
  <c r="M102" i="4"/>
  <c r="L102" i="4"/>
  <c r="K102" i="4"/>
  <c r="D102" i="4"/>
  <c r="J101" i="4"/>
  <c r="I101" i="4"/>
  <c r="H101" i="4"/>
  <c r="G101" i="4"/>
  <c r="F101" i="4"/>
  <c r="E101" i="4"/>
  <c r="C101" i="4"/>
  <c r="M100" i="4"/>
  <c r="L100" i="4"/>
  <c r="K100" i="4"/>
  <c r="D100" i="4"/>
  <c r="M99" i="4"/>
  <c r="L99" i="4"/>
  <c r="K99" i="4"/>
  <c r="D99" i="4"/>
  <c r="M98" i="4"/>
  <c r="L98" i="4"/>
  <c r="K98" i="4"/>
  <c r="K101" i="4" s="1"/>
  <c r="D98" i="4"/>
  <c r="J97" i="4"/>
  <c r="I97" i="4"/>
  <c r="H97" i="4"/>
  <c r="G97" i="4"/>
  <c r="F97" i="4"/>
  <c r="E97" i="4"/>
  <c r="C97" i="4"/>
  <c r="M96" i="4"/>
  <c r="L96" i="4"/>
  <c r="K96" i="4"/>
  <c r="M95" i="4"/>
  <c r="L95" i="4"/>
  <c r="K95" i="4"/>
  <c r="M94" i="4"/>
  <c r="L94" i="4"/>
  <c r="K94" i="4"/>
  <c r="J93" i="4"/>
  <c r="I93" i="4"/>
  <c r="H93" i="4"/>
  <c r="G93" i="4"/>
  <c r="F93" i="4"/>
  <c r="E93" i="4"/>
  <c r="C93" i="4"/>
  <c r="M92" i="4"/>
  <c r="L92" i="4"/>
  <c r="K92" i="4"/>
  <c r="D92" i="4"/>
  <c r="M91" i="4"/>
  <c r="L91" i="4"/>
  <c r="K91" i="4"/>
  <c r="D91" i="4"/>
  <c r="M90" i="4"/>
  <c r="L90" i="4"/>
  <c r="K90" i="4"/>
  <c r="D90" i="4"/>
  <c r="J89" i="4"/>
  <c r="I89" i="4"/>
  <c r="H89" i="4"/>
  <c r="G89" i="4"/>
  <c r="F89" i="4"/>
  <c r="E89" i="4"/>
  <c r="C89" i="4"/>
  <c r="M88" i="4"/>
  <c r="L88" i="4"/>
  <c r="K88" i="4"/>
  <c r="D88" i="4"/>
  <c r="M87" i="4"/>
  <c r="L87" i="4"/>
  <c r="K87" i="4"/>
  <c r="D87" i="4"/>
  <c r="M86" i="4"/>
  <c r="L86" i="4"/>
  <c r="K86" i="4"/>
  <c r="D86" i="4"/>
  <c r="J85" i="4"/>
  <c r="I85" i="4"/>
  <c r="H85" i="4"/>
  <c r="G85" i="4"/>
  <c r="F85" i="4"/>
  <c r="E85" i="4"/>
  <c r="C85" i="4"/>
  <c r="M84" i="4"/>
  <c r="L84" i="4"/>
  <c r="K84" i="4"/>
  <c r="D84" i="4"/>
  <c r="M83" i="4"/>
  <c r="L83" i="4"/>
  <c r="K83" i="4"/>
  <c r="D83" i="4"/>
  <c r="M82" i="4"/>
  <c r="L82" i="4"/>
  <c r="L85" i="4" s="1"/>
  <c r="K82" i="4"/>
  <c r="D82" i="4"/>
  <c r="J81" i="4"/>
  <c r="I81" i="4"/>
  <c r="H81" i="4"/>
  <c r="G81" i="4"/>
  <c r="F81" i="4"/>
  <c r="E81" i="4"/>
  <c r="C81" i="4"/>
  <c r="M80" i="4"/>
  <c r="L80" i="4"/>
  <c r="K80" i="4"/>
  <c r="D80" i="4"/>
  <c r="M79" i="4"/>
  <c r="L79" i="4"/>
  <c r="K79" i="4"/>
  <c r="D79" i="4"/>
  <c r="M78" i="4"/>
  <c r="L78" i="4"/>
  <c r="K78" i="4"/>
  <c r="D78" i="4"/>
  <c r="J125" i="3"/>
  <c r="I125" i="3"/>
  <c r="H125" i="3"/>
  <c r="G125" i="3"/>
  <c r="F125" i="3"/>
  <c r="E125" i="3"/>
  <c r="C125" i="3"/>
  <c r="M124" i="3"/>
  <c r="L124" i="3"/>
  <c r="K124" i="3"/>
  <c r="D124" i="3"/>
  <c r="M123" i="3"/>
  <c r="L123" i="3"/>
  <c r="K123" i="3"/>
  <c r="D123" i="3"/>
  <c r="M122" i="3"/>
  <c r="L122" i="3"/>
  <c r="K122" i="3"/>
  <c r="D122" i="3"/>
  <c r="J121" i="3"/>
  <c r="I121" i="3"/>
  <c r="H121" i="3"/>
  <c r="G121" i="3"/>
  <c r="F121" i="3"/>
  <c r="E121" i="3"/>
  <c r="C121" i="3"/>
  <c r="M120" i="3"/>
  <c r="L120" i="3"/>
  <c r="K120" i="3"/>
  <c r="D120" i="3"/>
  <c r="M119" i="3"/>
  <c r="L119" i="3"/>
  <c r="K119" i="3"/>
  <c r="D119" i="3"/>
  <c r="M118" i="3"/>
  <c r="L118" i="3"/>
  <c r="K118" i="3"/>
  <c r="D118" i="3"/>
  <c r="J117" i="3"/>
  <c r="I117" i="3"/>
  <c r="H117" i="3"/>
  <c r="G117" i="3"/>
  <c r="F117" i="3"/>
  <c r="E117" i="3"/>
  <c r="C117" i="3"/>
  <c r="M116" i="3"/>
  <c r="L116" i="3"/>
  <c r="K116" i="3"/>
  <c r="D116" i="3"/>
  <c r="M115" i="3"/>
  <c r="L115" i="3"/>
  <c r="K115" i="3"/>
  <c r="D115" i="3"/>
  <c r="M114" i="3"/>
  <c r="L114" i="3"/>
  <c r="K114" i="3"/>
  <c r="D114" i="3"/>
  <c r="J113" i="3"/>
  <c r="I113" i="3"/>
  <c r="H113" i="3"/>
  <c r="G113" i="3"/>
  <c r="F113" i="3"/>
  <c r="E113" i="3"/>
  <c r="C113" i="3"/>
  <c r="M112" i="3"/>
  <c r="L112" i="3"/>
  <c r="K112" i="3"/>
  <c r="D112" i="3"/>
  <c r="M111" i="3"/>
  <c r="L111" i="3"/>
  <c r="K111" i="3"/>
  <c r="D111" i="3"/>
  <c r="M110" i="3"/>
  <c r="L110" i="3"/>
  <c r="K110" i="3"/>
  <c r="D110" i="3"/>
  <c r="J109" i="3"/>
  <c r="I109" i="3"/>
  <c r="H109" i="3"/>
  <c r="G109" i="3"/>
  <c r="F109" i="3"/>
  <c r="E109" i="3"/>
  <c r="C109" i="3"/>
  <c r="M108" i="3"/>
  <c r="L108" i="3"/>
  <c r="K108" i="3"/>
  <c r="D108" i="3"/>
  <c r="M107" i="3"/>
  <c r="L107" i="3"/>
  <c r="K107" i="3"/>
  <c r="D107" i="3"/>
  <c r="M106" i="3"/>
  <c r="L106" i="3"/>
  <c r="K106" i="3"/>
  <c r="D106" i="3"/>
  <c r="J105" i="3"/>
  <c r="I105" i="3"/>
  <c r="H105" i="3"/>
  <c r="G105" i="3"/>
  <c r="F105" i="3"/>
  <c r="E105" i="3"/>
  <c r="C105" i="3"/>
  <c r="M104" i="3"/>
  <c r="L104" i="3"/>
  <c r="K104" i="3"/>
  <c r="D104" i="3"/>
  <c r="M103" i="3"/>
  <c r="L103" i="3"/>
  <c r="K103" i="3"/>
  <c r="D103" i="3"/>
  <c r="M102" i="3"/>
  <c r="L102" i="3"/>
  <c r="K102" i="3"/>
  <c r="D102" i="3"/>
  <c r="J101" i="3"/>
  <c r="I101" i="3"/>
  <c r="H101" i="3"/>
  <c r="G101" i="3"/>
  <c r="F101" i="3"/>
  <c r="E101" i="3"/>
  <c r="C101" i="3"/>
  <c r="M100" i="3"/>
  <c r="L100" i="3"/>
  <c r="K100" i="3"/>
  <c r="D100" i="3"/>
  <c r="M99" i="3"/>
  <c r="L99" i="3"/>
  <c r="K99" i="3"/>
  <c r="D99" i="3"/>
  <c r="M98" i="3"/>
  <c r="L98" i="3"/>
  <c r="K98" i="3"/>
  <c r="D98" i="3"/>
  <c r="J97" i="3"/>
  <c r="I97" i="3"/>
  <c r="H97" i="3"/>
  <c r="G97" i="3"/>
  <c r="F97" i="3"/>
  <c r="E97" i="3"/>
  <c r="C97" i="3"/>
  <c r="M96" i="3"/>
  <c r="L96" i="3"/>
  <c r="K96" i="3"/>
  <c r="D96" i="3"/>
  <c r="M95" i="3"/>
  <c r="L95" i="3"/>
  <c r="K95" i="3"/>
  <c r="D95" i="3"/>
  <c r="M94" i="3"/>
  <c r="L94" i="3"/>
  <c r="K94" i="3"/>
  <c r="D94" i="3"/>
  <c r="J93" i="3"/>
  <c r="I93" i="3"/>
  <c r="H93" i="3"/>
  <c r="G93" i="3"/>
  <c r="F93" i="3"/>
  <c r="E93" i="3"/>
  <c r="C93" i="3"/>
  <c r="M92" i="3"/>
  <c r="L92" i="3"/>
  <c r="K92" i="3"/>
  <c r="D92" i="3"/>
  <c r="M91" i="3"/>
  <c r="L91" i="3"/>
  <c r="K91" i="3"/>
  <c r="D91" i="3"/>
  <c r="M90" i="3"/>
  <c r="L90" i="3"/>
  <c r="K90" i="3"/>
  <c r="D90" i="3"/>
  <c r="J89" i="3"/>
  <c r="I89" i="3"/>
  <c r="H89" i="3"/>
  <c r="G89" i="3"/>
  <c r="F89" i="3"/>
  <c r="E89" i="3"/>
  <c r="C89" i="3"/>
  <c r="M88" i="3"/>
  <c r="L88" i="3"/>
  <c r="K88" i="3"/>
  <c r="D88" i="3"/>
  <c r="M87" i="3"/>
  <c r="L87" i="3"/>
  <c r="K87" i="3"/>
  <c r="D87" i="3"/>
  <c r="M86" i="3"/>
  <c r="L86" i="3"/>
  <c r="K86" i="3"/>
  <c r="D86" i="3"/>
  <c r="J85" i="3"/>
  <c r="I85" i="3"/>
  <c r="H85" i="3"/>
  <c r="G85" i="3"/>
  <c r="F85" i="3"/>
  <c r="E85" i="3"/>
  <c r="C85" i="3"/>
  <c r="M84" i="3"/>
  <c r="L84" i="3"/>
  <c r="K84" i="3"/>
  <c r="D84" i="3"/>
  <c r="M83" i="3"/>
  <c r="L83" i="3"/>
  <c r="K83" i="3"/>
  <c r="D83" i="3"/>
  <c r="M82" i="3"/>
  <c r="L82" i="3"/>
  <c r="K82" i="3"/>
  <c r="D82" i="3"/>
  <c r="J81" i="3"/>
  <c r="I81" i="3"/>
  <c r="H81" i="3"/>
  <c r="G81" i="3"/>
  <c r="F81" i="3"/>
  <c r="E81" i="3"/>
  <c r="C81" i="3"/>
  <c r="M80" i="3"/>
  <c r="L80" i="3"/>
  <c r="K80" i="3"/>
  <c r="D80" i="3"/>
  <c r="M79" i="3"/>
  <c r="L79" i="3"/>
  <c r="K79" i="3"/>
  <c r="D79" i="3"/>
  <c r="M78" i="3"/>
  <c r="L78" i="3"/>
  <c r="K78" i="3"/>
  <c r="D78" i="3"/>
  <c r="J74" i="4"/>
  <c r="I74" i="4"/>
  <c r="H74" i="4"/>
  <c r="G74" i="4"/>
  <c r="F74" i="4"/>
  <c r="E74" i="4"/>
  <c r="C74" i="4"/>
  <c r="M73" i="4"/>
  <c r="L73" i="4"/>
  <c r="K73" i="4"/>
  <c r="D73" i="4"/>
  <c r="M72" i="4"/>
  <c r="L72" i="4"/>
  <c r="K72" i="4"/>
  <c r="D72" i="4"/>
  <c r="M71" i="4"/>
  <c r="L71" i="4"/>
  <c r="K71" i="4"/>
  <c r="D71" i="4"/>
  <c r="J70" i="4"/>
  <c r="I70" i="4"/>
  <c r="H70" i="4"/>
  <c r="G70" i="4"/>
  <c r="F70" i="4"/>
  <c r="E70" i="4"/>
  <c r="C70" i="4"/>
  <c r="M69" i="4"/>
  <c r="L69" i="4"/>
  <c r="K69" i="4"/>
  <c r="D69" i="4"/>
  <c r="M68" i="4"/>
  <c r="L68" i="4"/>
  <c r="K68" i="4"/>
  <c r="D68" i="4"/>
  <c r="M67" i="4"/>
  <c r="L67" i="4"/>
  <c r="K67" i="4"/>
  <c r="D67" i="4"/>
  <c r="J66" i="4"/>
  <c r="I66" i="4"/>
  <c r="H66" i="4"/>
  <c r="G66" i="4"/>
  <c r="F66" i="4"/>
  <c r="E66" i="4"/>
  <c r="C66" i="4"/>
  <c r="M65" i="4"/>
  <c r="L65" i="4"/>
  <c r="K65" i="4"/>
  <c r="D65" i="4"/>
  <c r="M64" i="4"/>
  <c r="L64" i="4"/>
  <c r="K64" i="4"/>
  <c r="D64" i="4"/>
  <c r="M63" i="4"/>
  <c r="L63" i="4"/>
  <c r="K63" i="4"/>
  <c r="D63" i="4"/>
  <c r="J62" i="4"/>
  <c r="I62" i="4"/>
  <c r="H62" i="4"/>
  <c r="G62" i="4"/>
  <c r="F62" i="4"/>
  <c r="E62" i="4"/>
  <c r="C62" i="4"/>
  <c r="M61" i="4"/>
  <c r="L61" i="4"/>
  <c r="K61" i="4"/>
  <c r="D61" i="4"/>
  <c r="M60" i="4"/>
  <c r="L60" i="4"/>
  <c r="K60" i="4"/>
  <c r="D60" i="4"/>
  <c r="M59" i="4"/>
  <c r="L59" i="4"/>
  <c r="K59" i="4"/>
  <c r="D59" i="4"/>
  <c r="J58" i="4"/>
  <c r="I58" i="4"/>
  <c r="H58" i="4"/>
  <c r="G58" i="4"/>
  <c r="F58" i="4"/>
  <c r="E58" i="4"/>
  <c r="C58" i="4"/>
  <c r="M57" i="4"/>
  <c r="L57" i="4"/>
  <c r="K57" i="4"/>
  <c r="D57" i="4"/>
  <c r="M56" i="4"/>
  <c r="L56" i="4"/>
  <c r="K56" i="4"/>
  <c r="D56" i="4"/>
  <c r="M55" i="4"/>
  <c r="L55" i="4"/>
  <c r="K55" i="4"/>
  <c r="D55" i="4"/>
  <c r="J54" i="4"/>
  <c r="I54" i="4"/>
  <c r="H54" i="4"/>
  <c r="G54" i="4"/>
  <c r="F54" i="4"/>
  <c r="E54" i="4"/>
  <c r="C54" i="4"/>
  <c r="M53" i="4"/>
  <c r="L53" i="4"/>
  <c r="K53" i="4"/>
  <c r="D53" i="4"/>
  <c r="M52" i="4"/>
  <c r="L52" i="4"/>
  <c r="K52" i="4"/>
  <c r="D52" i="4"/>
  <c r="M51" i="4"/>
  <c r="L51" i="4"/>
  <c r="K51" i="4"/>
  <c r="D51" i="4"/>
  <c r="J50" i="4"/>
  <c r="I50" i="4"/>
  <c r="H50" i="4"/>
  <c r="G50" i="4"/>
  <c r="F50" i="4"/>
  <c r="E50" i="4"/>
  <c r="C50" i="4"/>
  <c r="M49" i="4"/>
  <c r="L49" i="4"/>
  <c r="K49" i="4"/>
  <c r="D49" i="4"/>
  <c r="M48" i="4"/>
  <c r="L48" i="4"/>
  <c r="K48" i="4"/>
  <c r="D48" i="4"/>
  <c r="M47" i="4"/>
  <c r="L47" i="4"/>
  <c r="K47" i="4"/>
  <c r="D47" i="4"/>
  <c r="J46" i="4"/>
  <c r="I46" i="4"/>
  <c r="H46" i="4"/>
  <c r="G46" i="4"/>
  <c r="F46" i="4"/>
  <c r="E46" i="4"/>
  <c r="C46" i="4"/>
  <c r="M45" i="4"/>
  <c r="L45" i="4"/>
  <c r="K45" i="4"/>
  <c r="D45" i="4"/>
  <c r="M44" i="4"/>
  <c r="L44" i="4"/>
  <c r="K44" i="4"/>
  <c r="D44" i="4"/>
  <c r="M43" i="4"/>
  <c r="L43" i="4"/>
  <c r="K43" i="4"/>
  <c r="D43" i="4"/>
  <c r="J42" i="4"/>
  <c r="I42" i="4"/>
  <c r="H42" i="4"/>
  <c r="G42" i="4"/>
  <c r="F42" i="4"/>
  <c r="E42" i="4"/>
  <c r="C42" i="4"/>
  <c r="M41" i="4"/>
  <c r="L41" i="4"/>
  <c r="K41" i="4"/>
  <c r="D41" i="4"/>
  <c r="M40" i="4"/>
  <c r="L40" i="4"/>
  <c r="K40" i="4"/>
  <c r="D40" i="4"/>
  <c r="M39" i="4"/>
  <c r="L39" i="4"/>
  <c r="K39" i="4"/>
  <c r="D39" i="4"/>
  <c r="J38" i="4"/>
  <c r="I38" i="4"/>
  <c r="H38" i="4"/>
  <c r="G38" i="4"/>
  <c r="F38" i="4"/>
  <c r="E38" i="4"/>
  <c r="C38" i="4"/>
  <c r="M37" i="4"/>
  <c r="L37" i="4"/>
  <c r="K37" i="4"/>
  <c r="D37" i="4"/>
  <c r="M36" i="4"/>
  <c r="L36" i="4"/>
  <c r="K36" i="4"/>
  <c r="D36" i="4"/>
  <c r="M35" i="4"/>
  <c r="L35" i="4"/>
  <c r="K35" i="4"/>
  <c r="D35" i="4"/>
  <c r="J34" i="4"/>
  <c r="I34" i="4"/>
  <c r="H34" i="4"/>
  <c r="G34" i="4"/>
  <c r="F34" i="4"/>
  <c r="E34" i="4"/>
  <c r="C34" i="4"/>
  <c r="M33" i="4"/>
  <c r="L33" i="4"/>
  <c r="K33" i="4"/>
  <c r="D33" i="4"/>
  <c r="M32" i="4"/>
  <c r="L32" i="4"/>
  <c r="K32" i="4"/>
  <c r="D32" i="4"/>
  <c r="M31" i="4"/>
  <c r="L31" i="4"/>
  <c r="K31" i="4"/>
  <c r="D31" i="4"/>
  <c r="J30" i="4"/>
  <c r="I30" i="4"/>
  <c r="H30" i="4"/>
  <c r="G30" i="4"/>
  <c r="F30" i="4"/>
  <c r="E30" i="4"/>
  <c r="C30" i="4"/>
  <c r="M29" i="4"/>
  <c r="L29" i="4"/>
  <c r="K29" i="4"/>
  <c r="D29" i="4"/>
  <c r="M28" i="4"/>
  <c r="L28" i="4"/>
  <c r="K28" i="4"/>
  <c r="D28" i="4"/>
  <c r="M27" i="4"/>
  <c r="L27" i="4"/>
  <c r="K27" i="4"/>
  <c r="D27" i="4"/>
  <c r="J26" i="4"/>
  <c r="I26" i="4"/>
  <c r="H26" i="4"/>
  <c r="G26" i="4"/>
  <c r="F26" i="4"/>
  <c r="E26" i="4"/>
  <c r="C26" i="4"/>
  <c r="M25" i="4"/>
  <c r="L25" i="4"/>
  <c r="K25" i="4"/>
  <c r="D25" i="4"/>
  <c r="M24" i="4"/>
  <c r="L24" i="4"/>
  <c r="K24" i="4"/>
  <c r="D24" i="4"/>
  <c r="M23" i="4"/>
  <c r="L23" i="4"/>
  <c r="K23" i="4"/>
  <c r="D23" i="4"/>
  <c r="J22" i="4"/>
  <c r="I22" i="4"/>
  <c r="H22" i="4"/>
  <c r="G22" i="4"/>
  <c r="F22" i="4"/>
  <c r="E22" i="4"/>
  <c r="C22" i="4"/>
  <c r="M21" i="4"/>
  <c r="L21" i="4"/>
  <c r="K21" i="4"/>
  <c r="D21" i="4"/>
  <c r="M20" i="4"/>
  <c r="L20" i="4"/>
  <c r="K20" i="4"/>
  <c r="D20" i="4"/>
  <c r="M19" i="4"/>
  <c r="M22" i="4" s="1"/>
  <c r="L19" i="4"/>
  <c r="K19" i="4"/>
  <c r="D19" i="4"/>
  <c r="J18" i="4"/>
  <c r="I18" i="4"/>
  <c r="H18" i="4"/>
  <c r="G18" i="4"/>
  <c r="F18" i="4"/>
  <c r="E18" i="4"/>
  <c r="C18" i="4"/>
  <c r="M17" i="4"/>
  <c r="L17" i="4"/>
  <c r="K17" i="4"/>
  <c r="D17" i="4"/>
  <c r="M16" i="4"/>
  <c r="L16" i="4"/>
  <c r="K16" i="4"/>
  <c r="D16" i="4"/>
  <c r="M15" i="4"/>
  <c r="L15" i="4"/>
  <c r="K15" i="4"/>
  <c r="D15" i="4"/>
  <c r="J14" i="4"/>
  <c r="I14" i="4"/>
  <c r="H14" i="4"/>
  <c r="G14" i="4"/>
  <c r="F14" i="4"/>
  <c r="E14" i="4"/>
  <c r="C14" i="4"/>
  <c r="M13" i="4"/>
  <c r="L13" i="4"/>
  <c r="K13" i="4"/>
  <c r="D13" i="4"/>
  <c r="M12" i="4"/>
  <c r="L12" i="4"/>
  <c r="K12" i="4"/>
  <c r="D12" i="4"/>
  <c r="M11" i="4"/>
  <c r="L11" i="4"/>
  <c r="K11" i="4"/>
  <c r="K14" i="4" s="1"/>
  <c r="D11" i="4"/>
  <c r="J10" i="4"/>
  <c r="I10" i="4"/>
  <c r="H10" i="4"/>
  <c r="G10" i="4"/>
  <c r="F10" i="4"/>
  <c r="E10" i="4"/>
  <c r="C10" i="4"/>
  <c r="M9" i="4"/>
  <c r="L9" i="4"/>
  <c r="K9" i="4"/>
  <c r="D9" i="4"/>
  <c r="M8" i="4"/>
  <c r="L8" i="4"/>
  <c r="K8" i="4"/>
  <c r="D8" i="4"/>
  <c r="M7" i="4"/>
  <c r="L7" i="4"/>
  <c r="K7" i="4"/>
  <c r="D7" i="4"/>
  <c r="J6" i="4"/>
  <c r="I6" i="4"/>
  <c r="H6" i="4"/>
  <c r="G6" i="4"/>
  <c r="F6" i="4"/>
  <c r="E6" i="4"/>
  <c r="C6" i="4"/>
  <c r="M5" i="4"/>
  <c r="L5" i="4"/>
  <c r="K5" i="4"/>
  <c r="D5" i="4"/>
  <c r="M4" i="4"/>
  <c r="L4" i="4"/>
  <c r="K4" i="4"/>
  <c r="D4" i="4"/>
  <c r="M3" i="4"/>
  <c r="L3" i="4"/>
  <c r="K3" i="4"/>
  <c r="D3" i="4"/>
  <c r="J70" i="3"/>
  <c r="I70" i="3"/>
  <c r="H70" i="3"/>
  <c r="G70" i="3"/>
  <c r="F70" i="3"/>
  <c r="E70" i="3"/>
  <c r="C70" i="3"/>
  <c r="M69" i="3"/>
  <c r="L69" i="3"/>
  <c r="K69" i="3"/>
  <c r="D69" i="3"/>
  <c r="M68" i="3"/>
  <c r="L68" i="3"/>
  <c r="K68" i="3"/>
  <c r="D68" i="3"/>
  <c r="M67" i="3"/>
  <c r="L67" i="3"/>
  <c r="K67" i="3"/>
  <c r="D67" i="3"/>
  <c r="J46" i="3"/>
  <c r="I46" i="3"/>
  <c r="H46" i="3"/>
  <c r="G46" i="3"/>
  <c r="F46" i="3"/>
  <c r="E46" i="3"/>
  <c r="C46" i="3"/>
  <c r="M45" i="3"/>
  <c r="L45" i="3"/>
  <c r="K45" i="3"/>
  <c r="D45" i="3"/>
  <c r="M44" i="3"/>
  <c r="L44" i="3"/>
  <c r="K44" i="3"/>
  <c r="D44" i="3"/>
  <c r="M43" i="3"/>
  <c r="L43" i="3"/>
  <c r="K43" i="3"/>
  <c r="D43" i="3"/>
  <c r="J66" i="3"/>
  <c r="I66" i="3"/>
  <c r="H66" i="3"/>
  <c r="G66" i="3"/>
  <c r="F66" i="3"/>
  <c r="E66" i="3"/>
  <c r="C66" i="3"/>
  <c r="M65" i="3"/>
  <c r="L65" i="3"/>
  <c r="K65" i="3"/>
  <c r="D65" i="3"/>
  <c r="M64" i="3"/>
  <c r="L64" i="3"/>
  <c r="K64" i="3"/>
  <c r="D64" i="3"/>
  <c r="M63" i="3"/>
  <c r="L63" i="3"/>
  <c r="K63" i="3"/>
  <c r="D63" i="3"/>
  <c r="J62" i="3"/>
  <c r="I62" i="3"/>
  <c r="H62" i="3"/>
  <c r="G62" i="3"/>
  <c r="F62" i="3"/>
  <c r="E62" i="3"/>
  <c r="C62" i="3"/>
  <c r="M61" i="3"/>
  <c r="L61" i="3"/>
  <c r="K61" i="3"/>
  <c r="D61" i="3"/>
  <c r="M60" i="3"/>
  <c r="L60" i="3"/>
  <c r="K60" i="3"/>
  <c r="D60" i="3"/>
  <c r="M59" i="3"/>
  <c r="L59" i="3"/>
  <c r="K59" i="3"/>
  <c r="D59" i="3"/>
  <c r="J58" i="3"/>
  <c r="I58" i="3"/>
  <c r="H58" i="3"/>
  <c r="G58" i="3"/>
  <c r="F58" i="3"/>
  <c r="E58" i="3"/>
  <c r="C58" i="3"/>
  <c r="M57" i="3"/>
  <c r="L57" i="3"/>
  <c r="K57" i="3"/>
  <c r="D57" i="3"/>
  <c r="M56" i="3"/>
  <c r="L56" i="3"/>
  <c r="K56" i="3"/>
  <c r="D56" i="3"/>
  <c r="M55" i="3"/>
  <c r="L55" i="3"/>
  <c r="K55" i="3"/>
  <c r="D55" i="3"/>
  <c r="J42" i="3"/>
  <c r="I42" i="3"/>
  <c r="H42" i="3"/>
  <c r="G42" i="3"/>
  <c r="F42" i="3"/>
  <c r="E42" i="3"/>
  <c r="C42" i="3"/>
  <c r="M41" i="3"/>
  <c r="L41" i="3"/>
  <c r="K41" i="3"/>
  <c r="D41" i="3"/>
  <c r="M40" i="3"/>
  <c r="L40" i="3"/>
  <c r="K40" i="3"/>
  <c r="D40" i="3"/>
  <c r="M39" i="3"/>
  <c r="L39" i="3"/>
  <c r="K39" i="3"/>
  <c r="D39" i="3"/>
  <c r="J54" i="3"/>
  <c r="I54" i="3"/>
  <c r="H54" i="3"/>
  <c r="G54" i="3"/>
  <c r="F54" i="3"/>
  <c r="E54" i="3"/>
  <c r="C54" i="3"/>
  <c r="M53" i="3"/>
  <c r="L53" i="3"/>
  <c r="K53" i="3"/>
  <c r="D53" i="3"/>
  <c r="M52" i="3"/>
  <c r="L52" i="3"/>
  <c r="K52" i="3"/>
  <c r="D52" i="3"/>
  <c r="M51" i="3"/>
  <c r="L51" i="3"/>
  <c r="K51" i="3"/>
  <c r="D51" i="3"/>
  <c r="J50" i="3"/>
  <c r="I50" i="3"/>
  <c r="H50" i="3"/>
  <c r="G50" i="3"/>
  <c r="F50" i="3"/>
  <c r="E50" i="3"/>
  <c r="C50" i="3"/>
  <c r="M49" i="3"/>
  <c r="L49" i="3"/>
  <c r="K49" i="3"/>
  <c r="D49" i="3"/>
  <c r="M48" i="3"/>
  <c r="L48" i="3"/>
  <c r="K48" i="3"/>
  <c r="D48" i="3"/>
  <c r="M47" i="3"/>
  <c r="L47" i="3"/>
  <c r="K47" i="3"/>
  <c r="D47" i="3"/>
  <c r="J14" i="3"/>
  <c r="I14" i="3"/>
  <c r="H14" i="3"/>
  <c r="G14" i="3"/>
  <c r="F14" i="3"/>
  <c r="E14" i="3"/>
  <c r="C14" i="3"/>
  <c r="M13" i="3"/>
  <c r="L13" i="3"/>
  <c r="K13" i="3"/>
  <c r="D13" i="3"/>
  <c r="M12" i="3"/>
  <c r="L12" i="3"/>
  <c r="K12" i="3"/>
  <c r="D12" i="3"/>
  <c r="M11" i="3"/>
  <c r="L11" i="3"/>
  <c r="K11" i="3"/>
  <c r="D11" i="3"/>
  <c r="J38" i="3"/>
  <c r="I38" i="3"/>
  <c r="H38" i="3"/>
  <c r="G38" i="3"/>
  <c r="F38" i="3"/>
  <c r="E38" i="3"/>
  <c r="C38" i="3"/>
  <c r="M37" i="3"/>
  <c r="L37" i="3"/>
  <c r="K37" i="3"/>
  <c r="D37" i="3"/>
  <c r="M36" i="3"/>
  <c r="L36" i="3"/>
  <c r="K36" i="3"/>
  <c r="D36" i="3"/>
  <c r="M35" i="3"/>
  <c r="L35" i="3"/>
  <c r="K35" i="3"/>
  <c r="D35" i="3"/>
  <c r="J26" i="3"/>
  <c r="I26" i="3"/>
  <c r="H26" i="3"/>
  <c r="G26" i="3"/>
  <c r="F26" i="3"/>
  <c r="E26" i="3"/>
  <c r="C26" i="3"/>
  <c r="M25" i="3"/>
  <c r="L25" i="3"/>
  <c r="K25" i="3"/>
  <c r="D25" i="3"/>
  <c r="M24" i="3"/>
  <c r="L24" i="3"/>
  <c r="K24" i="3"/>
  <c r="D24" i="3"/>
  <c r="M23" i="3"/>
  <c r="L23" i="3"/>
  <c r="K23" i="3"/>
  <c r="D23" i="3"/>
  <c r="J10" i="3"/>
  <c r="I10" i="3"/>
  <c r="H10" i="3"/>
  <c r="G10" i="3"/>
  <c r="F10" i="3"/>
  <c r="E10" i="3"/>
  <c r="C10" i="3"/>
  <c r="M9" i="3"/>
  <c r="L9" i="3"/>
  <c r="K9" i="3"/>
  <c r="D9" i="3"/>
  <c r="M8" i="3"/>
  <c r="L8" i="3"/>
  <c r="K8" i="3"/>
  <c r="D8" i="3"/>
  <c r="M7" i="3"/>
  <c r="L7" i="3"/>
  <c r="K7" i="3"/>
  <c r="D7" i="3"/>
  <c r="J34" i="3"/>
  <c r="I34" i="3"/>
  <c r="H34" i="3"/>
  <c r="G34" i="3"/>
  <c r="F34" i="3"/>
  <c r="E34" i="3"/>
  <c r="C34" i="3"/>
  <c r="M33" i="3"/>
  <c r="L33" i="3"/>
  <c r="K33" i="3"/>
  <c r="D33" i="3"/>
  <c r="M32" i="3"/>
  <c r="L32" i="3"/>
  <c r="K32" i="3"/>
  <c r="D32" i="3"/>
  <c r="M31" i="3"/>
  <c r="L31" i="3"/>
  <c r="K31" i="3"/>
  <c r="D31" i="3"/>
  <c r="J22" i="3"/>
  <c r="I22" i="3"/>
  <c r="H22" i="3"/>
  <c r="G22" i="3"/>
  <c r="F22" i="3"/>
  <c r="E22" i="3"/>
  <c r="C22" i="3"/>
  <c r="M21" i="3"/>
  <c r="L21" i="3"/>
  <c r="K21" i="3"/>
  <c r="D21" i="3"/>
  <c r="M20" i="3"/>
  <c r="L20" i="3"/>
  <c r="K20" i="3"/>
  <c r="D20" i="3"/>
  <c r="M19" i="3"/>
  <c r="L19" i="3"/>
  <c r="K19" i="3"/>
  <c r="D19" i="3"/>
  <c r="J30" i="3"/>
  <c r="I30" i="3"/>
  <c r="H30" i="3"/>
  <c r="G30" i="3"/>
  <c r="F30" i="3"/>
  <c r="E30" i="3"/>
  <c r="C30" i="3"/>
  <c r="M29" i="3"/>
  <c r="L29" i="3"/>
  <c r="K29" i="3"/>
  <c r="D29" i="3"/>
  <c r="M28" i="3"/>
  <c r="L28" i="3"/>
  <c r="K28" i="3"/>
  <c r="D28" i="3"/>
  <c r="M27" i="3"/>
  <c r="L27" i="3"/>
  <c r="K27" i="3"/>
  <c r="D27" i="3"/>
  <c r="J18" i="3"/>
  <c r="I18" i="3"/>
  <c r="H18" i="3"/>
  <c r="G18" i="3"/>
  <c r="F18" i="3"/>
  <c r="E18" i="3"/>
  <c r="C18" i="3"/>
  <c r="M17" i="3"/>
  <c r="L17" i="3"/>
  <c r="K17" i="3"/>
  <c r="D17" i="3"/>
  <c r="M16" i="3"/>
  <c r="L16" i="3"/>
  <c r="K16" i="3"/>
  <c r="D16" i="3"/>
  <c r="M15" i="3"/>
  <c r="L15" i="3"/>
  <c r="K15" i="3"/>
  <c r="D15" i="3"/>
  <c r="J6" i="3"/>
  <c r="I6" i="3"/>
  <c r="H6" i="3"/>
  <c r="G6" i="3"/>
  <c r="F6" i="3"/>
  <c r="E6" i="3"/>
  <c r="C6" i="3"/>
  <c r="M5" i="3"/>
  <c r="L5" i="3"/>
  <c r="K5" i="3"/>
  <c r="D5" i="3"/>
  <c r="M4" i="3"/>
  <c r="L4" i="3"/>
  <c r="K4" i="3"/>
  <c r="D4" i="3"/>
  <c r="M3" i="3"/>
  <c r="L3" i="3"/>
  <c r="K3" i="3"/>
  <c r="L34" i="4" l="1"/>
  <c r="L58" i="4"/>
  <c r="L30" i="4"/>
  <c r="K42" i="4"/>
  <c r="M50" i="4"/>
  <c r="D54" i="4"/>
  <c r="L62" i="4"/>
  <c r="K74" i="4"/>
  <c r="L81" i="4"/>
  <c r="D34" i="4"/>
  <c r="L6" i="4"/>
  <c r="D14" i="4"/>
  <c r="L22" i="4"/>
  <c r="D30" i="4"/>
  <c r="L70" i="4"/>
  <c r="M30" i="4"/>
  <c r="K54" i="4"/>
  <c r="L121" i="4"/>
  <c r="L25" i="5"/>
  <c r="AB25" i="5"/>
  <c r="E25" i="5"/>
  <c r="U25" i="5"/>
  <c r="AC25" i="5"/>
  <c r="D21" i="5"/>
  <c r="H21" i="5"/>
  <c r="L21" i="5"/>
  <c r="P21" i="5"/>
  <c r="T20" i="5"/>
  <c r="AB20" i="5"/>
  <c r="AE22" i="5"/>
  <c r="W22" i="5"/>
  <c r="AC21" i="5"/>
  <c r="U21" i="5"/>
  <c r="R21" i="5"/>
  <c r="E20" i="5"/>
  <c r="G22" i="5"/>
  <c r="I20" i="5"/>
  <c r="K22" i="5"/>
  <c r="M20" i="5"/>
  <c r="O22" i="5"/>
  <c r="Q20" i="5"/>
  <c r="U20" i="5"/>
  <c r="AC20" i="5"/>
  <c r="AD22" i="5"/>
  <c r="V22" i="5"/>
  <c r="AB21" i="5"/>
  <c r="T21" i="5"/>
  <c r="C22" i="5"/>
  <c r="G21" i="5"/>
  <c r="K21" i="5"/>
  <c r="O21" i="5"/>
  <c r="V20" i="5"/>
  <c r="AD20" i="5"/>
  <c r="AC22" i="5"/>
  <c r="U22" i="5"/>
  <c r="AA21" i="5"/>
  <c r="S21" i="5"/>
  <c r="D20" i="5"/>
  <c r="F22" i="5"/>
  <c r="H20" i="5"/>
  <c r="J22" i="5"/>
  <c r="L20" i="5"/>
  <c r="N22" i="5"/>
  <c r="P20" i="5"/>
  <c r="W20" i="5"/>
  <c r="AE20" i="5"/>
  <c r="AB22" i="5"/>
  <c r="T22" i="5"/>
  <c r="Z21" i="5"/>
  <c r="R20" i="5"/>
  <c r="F21" i="5"/>
  <c r="J21" i="5"/>
  <c r="N21" i="5"/>
  <c r="X20" i="5"/>
  <c r="AF20" i="5"/>
  <c r="AA22" i="5"/>
  <c r="S22" i="5"/>
  <c r="Y21" i="5"/>
  <c r="C20" i="5"/>
  <c r="E22" i="5"/>
  <c r="G20" i="5"/>
  <c r="I22" i="5"/>
  <c r="K20" i="5"/>
  <c r="M22" i="5"/>
  <c r="O20" i="5"/>
  <c r="Q22" i="5"/>
  <c r="Y20" i="5"/>
  <c r="Z22" i="5"/>
  <c r="AF21" i="5"/>
  <c r="X21" i="5"/>
  <c r="C21" i="5"/>
  <c r="E21" i="5"/>
  <c r="I21" i="5"/>
  <c r="M21" i="5"/>
  <c r="Q21" i="5"/>
  <c r="Z20" i="5"/>
  <c r="Y22" i="5"/>
  <c r="AE21" i="5"/>
  <c r="W21" i="5"/>
  <c r="D22" i="5"/>
  <c r="F20" i="5"/>
  <c r="H22" i="5"/>
  <c r="J20" i="5"/>
  <c r="L22" i="5"/>
  <c r="N20" i="5"/>
  <c r="P22" i="5"/>
  <c r="X22" i="5"/>
  <c r="AD20" i="6"/>
  <c r="D20" i="6"/>
  <c r="T20" i="6"/>
  <c r="X21" i="6"/>
  <c r="T21" i="6"/>
  <c r="R22" i="6"/>
  <c r="T22" i="6"/>
  <c r="S22" i="6"/>
  <c r="M117" i="4"/>
  <c r="K97" i="4"/>
  <c r="M97" i="4"/>
  <c r="M89" i="4"/>
  <c r="D89" i="4"/>
  <c r="K85" i="4"/>
  <c r="K62" i="4"/>
  <c r="K38" i="4"/>
  <c r="M46" i="4"/>
  <c r="D117" i="4"/>
  <c r="K46" i="4"/>
  <c r="M121" i="4"/>
  <c r="L26" i="4"/>
  <c r="M66" i="4"/>
  <c r="K93" i="4"/>
  <c r="M101" i="4"/>
  <c r="K109" i="4"/>
  <c r="K125" i="4"/>
  <c r="M34" i="4"/>
  <c r="M54" i="4"/>
  <c r="M85" i="4"/>
  <c r="K113" i="4"/>
  <c r="D125" i="4"/>
  <c r="M74" i="4"/>
  <c r="D85" i="4"/>
  <c r="K117" i="4"/>
  <c r="L18" i="4"/>
  <c r="K30" i="4"/>
  <c r="L66" i="4"/>
  <c r="D121" i="4"/>
  <c r="M6" i="4"/>
  <c r="D10" i="4"/>
  <c r="K34" i="4"/>
  <c r="M14" i="4"/>
  <c r="K22" i="4"/>
  <c r="M38" i="4"/>
  <c r="D58" i="4"/>
  <c r="D66" i="4"/>
  <c r="D93" i="4"/>
  <c r="L101" i="4"/>
  <c r="D109" i="4"/>
  <c r="L93" i="4"/>
  <c r="L113" i="4"/>
  <c r="L14" i="4"/>
  <c r="K26" i="4"/>
  <c r="L38" i="4"/>
  <c r="D46" i="4"/>
  <c r="L54" i="4"/>
  <c r="M62" i="4"/>
  <c r="M70" i="4"/>
  <c r="D74" i="4"/>
  <c r="K81" i="4"/>
  <c r="M93" i="4"/>
  <c r="D38" i="4"/>
  <c r="K58" i="4"/>
  <c r="K70" i="4"/>
  <c r="M81" i="4"/>
  <c r="L89" i="4"/>
  <c r="L117" i="4"/>
  <c r="D101" i="4"/>
  <c r="L109" i="4"/>
  <c r="M125" i="4"/>
  <c r="K23" i="6"/>
  <c r="AA23" i="6"/>
  <c r="L23" i="6"/>
  <c r="P23" i="6"/>
  <c r="AF23" i="6"/>
  <c r="V23" i="6"/>
  <c r="G23" i="6"/>
  <c r="AE23" i="6"/>
  <c r="Q23" i="6"/>
  <c r="Z23" i="6"/>
  <c r="C16" i="6"/>
  <c r="G20" i="6"/>
  <c r="O20" i="6"/>
  <c r="W20" i="6"/>
  <c r="AE20" i="6"/>
  <c r="I21" i="6"/>
  <c r="Q21" i="6"/>
  <c r="Y21" i="6"/>
  <c r="C22" i="6"/>
  <c r="K22" i="6"/>
  <c r="AA22" i="6"/>
  <c r="D16" i="6"/>
  <c r="U24" i="6" s="1"/>
  <c r="H20" i="6"/>
  <c r="P20" i="6"/>
  <c r="X20" i="6"/>
  <c r="AF20" i="6"/>
  <c r="J21" i="6"/>
  <c r="R21" i="6"/>
  <c r="Z21" i="6"/>
  <c r="D22" i="6"/>
  <c r="L22" i="6"/>
  <c r="AB22" i="6"/>
  <c r="F23" i="6"/>
  <c r="C17" i="6"/>
  <c r="X25" i="6" s="1"/>
  <c r="I20" i="6"/>
  <c r="Q20" i="6"/>
  <c r="Y20" i="6"/>
  <c r="C21" i="6"/>
  <c r="K21" i="6"/>
  <c r="S21" i="6"/>
  <c r="AA21" i="6"/>
  <c r="E22" i="6"/>
  <c r="M22" i="6"/>
  <c r="U22" i="6"/>
  <c r="AC22" i="6"/>
  <c r="D17" i="6"/>
  <c r="AA25" i="6" s="1"/>
  <c r="J20" i="6"/>
  <c r="R20" i="6"/>
  <c r="Z20" i="6"/>
  <c r="D21" i="6"/>
  <c r="L21" i="6"/>
  <c r="AB21" i="6"/>
  <c r="F22" i="6"/>
  <c r="N22" i="6"/>
  <c r="V22" i="6"/>
  <c r="AD22" i="6"/>
  <c r="C20" i="6"/>
  <c r="K20" i="6"/>
  <c r="S20" i="6"/>
  <c r="AA20" i="6"/>
  <c r="E21" i="6"/>
  <c r="M21" i="6"/>
  <c r="U21" i="6"/>
  <c r="AC21" i="6"/>
  <c r="G22" i="6"/>
  <c r="O22" i="6"/>
  <c r="W22" i="6"/>
  <c r="AE22" i="6"/>
  <c r="L20" i="6"/>
  <c r="AB20" i="6"/>
  <c r="F21" i="6"/>
  <c r="N21" i="6"/>
  <c r="V21" i="6"/>
  <c r="AD21" i="6"/>
  <c r="H22" i="6"/>
  <c r="P22" i="6"/>
  <c r="X22" i="6"/>
  <c r="AF22" i="6"/>
  <c r="C15" i="6"/>
  <c r="T23" i="6" s="1"/>
  <c r="E20" i="6"/>
  <c r="M20" i="6"/>
  <c r="U20" i="6"/>
  <c r="AC20" i="6"/>
  <c r="G21" i="6"/>
  <c r="O21" i="6"/>
  <c r="W21" i="6"/>
  <c r="AE21" i="6"/>
  <c r="I22" i="6"/>
  <c r="Q22" i="6"/>
  <c r="Y22" i="6"/>
  <c r="F20" i="6"/>
  <c r="N20" i="6"/>
  <c r="H21" i="6"/>
  <c r="P21" i="6"/>
  <c r="J22" i="6"/>
  <c r="D15" i="5"/>
  <c r="L23" i="5" s="1"/>
  <c r="D16" i="5"/>
  <c r="F24" i="5" s="1"/>
  <c r="C17" i="5"/>
  <c r="J25" i="5" s="1"/>
  <c r="C16" i="5"/>
  <c r="AB24" i="5" s="1"/>
  <c r="D17" i="5"/>
  <c r="P25" i="5" s="1"/>
  <c r="C15" i="5"/>
  <c r="C23" i="5" s="1"/>
  <c r="D81" i="3"/>
  <c r="L105" i="3"/>
  <c r="L121" i="3"/>
  <c r="K74" i="3"/>
  <c r="L74" i="3"/>
  <c r="M74" i="3"/>
  <c r="D74" i="3"/>
  <c r="D101" i="3"/>
  <c r="L109" i="3"/>
  <c r="K121" i="3"/>
  <c r="L34" i="3"/>
  <c r="K81" i="3"/>
  <c r="M89" i="3"/>
  <c r="D93" i="3"/>
  <c r="L101" i="3"/>
  <c r="K113" i="3"/>
  <c r="L6" i="3"/>
  <c r="K109" i="3"/>
  <c r="K34" i="3"/>
  <c r="M66" i="3"/>
  <c r="K58" i="3"/>
  <c r="L50" i="3"/>
  <c r="M26" i="3"/>
  <c r="K93" i="3"/>
  <c r="M101" i="3"/>
  <c r="M81" i="3"/>
  <c r="D85" i="3"/>
  <c r="K105" i="3"/>
  <c r="M113" i="3"/>
  <c r="L85" i="3"/>
  <c r="L117" i="3"/>
  <c r="L10" i="4"/>
  <c r="D18" i="4"/>
  <c r="L46" i="4"/>
  <c r="K66" i="4"/>
  <c r="D81" i="4"/>
  <c r="K89" i="4"/>
  <c r="K105" i="4"/>
  <c r="M26" i="4"/>
  <c r="L42" i="4"/>
  <c r="D50" i="4"/>
  <c r="D62" i="4"/>
  <c r="D70" i="4"/>
  <c r="D97" i="4"/>
  <c r="L105" i="4"/>
  <c r="M113" i="4"/>
  <c r="L125" i="4"/>
  <c r="D6" i="4"/>
  <c r="D26" i="4"/>
  <c r="M42" i="4"/>
  <c r="K50" i="4"/>
  <c r="M105" i="4"/>
  <c r="D113" i="4"/>
  <c r="K121" i="4"/>
  <c r="M10" i="4"/>
  <c r="K18" i="4"/>
  <c r="K6" i="4"/>
  <c r="K10" i="4"/>
  <c r="M18" i="4"/>
  <c r="D22" i="4"/>
  <c r="D42" i="4"/>
  <c r="L50" i="4"/>
  <c r="M58" i="4"/>
  <c r="L74" i="4"/>
  <c r="L97" i="4"/>
  <c r="D105" i="4"/>
  <c r="M42" i="3"/>
  <c r="D105" i="3"/>
  <c r="D109" i="3"/>
  <c r="M50" i="3"/>
  <c r="D121" i="3"/>
  <c r="K85" i="3"/>
  <c r="L93" i="3"/>
  <c r="L113" i="3"/>
  <c r="M121" i="3"/>
  <c r="D125" i="3"/>
  <c r="K26" i="3"/>
  <c r="L38" i="3"/>
  <c r="M14" i="3"/>
  <c r="M62" i="3"/>
  <c r="D66" i="3"/>
  <c r="M93" i="3"/>
  <c r="L30" i="3"/>
  <c r="L26" i="3"/>
  <c r="L42" i="3"/>
  <c r="D62" i="3"/>
  <c r="K66" i="3"/>
  <c r="M85" i="3"/>
  <c r="K97" i="3"/>
  <c r="M105" i="3"/>
  <c r="M109" i="3"/>
  <c r="M18" i="3"/>
  <c r="K6" i="3"/>
  <c r="M6" i="3"/>
  <c r="D89" i="3"/>
  <c r="D97" i="3"/>
  <c r="D117" i="3"/>
  <c r="D22" i="3"/>
  <c r="D14" i="3"/>
  <c r="K54" i="3"/>
  <c r="M58" i="3"/>
  <c r="L46" i="3"/>
  <c r="L81" i="3"/>
  <c r="K89" i="3"/>
  <c r="K101" i="3"/>
  <c r="K117" i="3"/>
  <c r="K125" i="3"/>
  <c r="K46" i="3"/>
  <c r="D30" i="3"/>
  <c r="K22" i="3"/>
  <c r="L10" i="3"/>
  <c r="K14" i="3"/>
  <c r="L54" i="3"/>
  <c r="K62" i="3"/>
  <c r="M46" i="3"/>
  <c r="D70" i="3"/>
  <c r="L89" i="3"/>
  <c r="L97" i="3"/>
  <c r="L125" i="3"/>
  <c r="M34" i="3"/>
  <c r="D6" i="3"/>
  <c r="K18" i="3"/>
  <c r="K30" i="3"/>
  <c r="L22" i="3"/>
  <c r="L14" i="3"/>
  <c r="M54" i="3"/>
  <c r="L62" i="3"/>
  <c r="M97" i="3"/>
  <c r="D113" i="3"/>
  <c r="M117" i="3"/>
  <c r="M125" i="3"/>
  <c r="M30" i="3"/>
  <c r="D38" i="3"/>
  <c r="L58" i="3"/>
  <c r="K70" i="3"/>
  <c r="M22" i="3"/>
  <c r="K38" i="3"/>
  <c r="D50" i="3"/>
  <c r="L66" i="3"/>
  <c r="L70" i="3"/>
  <c r="D18" i="3"/>
  <c r="K10" i="3"/>
  <c r="L18" i="3"/>
  <c r="M10" i="3"/>
  <c r="K50" i="3"/>
  <c r="D42" i="3"/>
  <c r="M70" i="3"/>
  <c r="D10" i="3"/>
  <c r="D26" i="3"/>
  <c r="M38" i="3"/>
  <c r="K42" i="3"/>
  <c r="D46" i="3"/>
  <c r="D34" i="3"/>
  <c r="D58" i="3"/>
  <c r="D54" i="3"/>
  <c r="AD23" i="5" l="1"/>
  <c r="T23" i="5"/>
  <c r="AE25" i="5"/>
  <c r="W23" i="5"/>
  <c r="AC23" i="5"/>
  <c r="Q25" i="5"/>
  <c r="AA25" i="5"/>
  <c r="O25" i="5"/>
  <c r="G25" i="5"/>
  <c r="S23" i="5"/>
  <c r="N23" i="5"/>
  <c r="M25" i="5"/>
  <c r="X23" i="5"/>
  <c r="I25" i="5"/>
  <c r="V25" i="5"/>
  <c r="R23" i="5"/>
  <c r="Y23" i="5"/>
  <c r="Z25" i="5"/>
  <c r="E23" i="5"/>
  <c r="H23" i="5"/>
  <c r="I23" i="5"/>
  <c r="H25" i="5"/>
  <c r="D23" i="5"/>
  <c r="AC23" i="6"/>
  <c r="R23" i="6"/>
  <c r="G24" i="6"/>
  <c r="O24" i="5"/>
  <c r="Y24" i="5"/>
  <c r="P24" i="5"/>
  <c r="H24" i="5"/>
  <c r="AA23" i="5"/>
  <c r="T24" i="5"/>
  <c r="Q23" i="5"/>
  <c r="T25" i="5"/>
  <c r="P23" i="5"/>
  <c r="U23" i="5"/>
  <c r="Q24" i="5"/>
  <c r="AE24" i="5"/>
  <c r="W25" i="5"/>
  <c r="L24" i="5"/>
  <c r="D24" i="5"/>
  <c r="AA24" i="5"/>
  <c r="Z24" i="5"/>
  <c r="X24" i="5"/>
  <c r="AC24" i="5"/>
  <c r="S24" i="5"/>
  <c r="G24" i="5"/>
  <c r="R24" i="5"/>
  <c r="V23" i="5"/>
  <c r="S25" i="5"/>
  <c r="O23" i="5"/>
  <c r="AB23" i="5"/>
  <c r="W24" i="5"/>
  <c r="U24" i="5"/>
  <c r="N25" i="5"/>
  <c r="J23" i="5"/>
  <c r="I24" i="5"/>
  <c r="K23" i="5"/>
  <c r="D25" i="5"/>
  <c r="AE23" i="5"/>
  <c r="X25" i="5"/>
  <c r="AD25" i="5"/>
  <c r="K24" i="5"/>
  <c r="AF25" i="5"/>
  <c r="J24" i="5"/>
  <c r="F23" i="5"/>
  <c r="K25" i="5"/>
  <c r="G23" i="5"/>
  <c r="R25" i="5"/>
  <c r="M23" i="5"/>
  <c r="M24" i="5"/>
  <c r="F25" i="5"/>
  <c r="V24" i="5"/>
  <c r="Z23" i="5"/>
  <c r="AD24" i="5"/>
  <c r="C24" i="5"/>
  <c r="N24" i="5"/>
  <c r="AF23" i="5"/>
  <c r="Y25" i="5"/>
  <c r="C25" i="5"/>
  <c r="AF24" i="5"/>
  <c r="E24" i="5"/>
  <c r="W24" i="6"/>
  <c r="R24" i="6"/>
  <c r="S24" i="6"/>
  <c r="T24" i="6"/>
  <c r="C24" i="6"/>
  <c r="S25" i="6"/>
  <c r="Y24" i="6"/>
  <c r="J23" i="6"/>
  <c r="AB25" i="6"/>
  <c r="X24" i="6"/>
  <c r="W25" i="6"/>
  <c r="E24" i="6"/>
  <c r="T25" i="6"/>
  <c r="Y25" i="6"/>
  <c r="E23" i="6"/>
  <c r="N25" i="6"/>
  <c r="AC25" i="6"/>
  <c r="R25" i="6"/>
  <c r="X23" i="6"/>
  <c r="H25" i="6"/>
  <c r="AD23" i="6"/>
  <c r="D25" i="6"/>
  <c r="AD25" i="6"/>
  <c r="AB24" i="6"/>
  <c r="J25" i="6"/>
  <c r="AD24" i="6"/>
  <c r="S23" i="6"/>
  <c r="N23" i="6"/>
  <c r="O25" i="6"/>
  <c r="M24" i="6"/>
  <c r="O24" i="6"/>
  <c r="K24" i="6"/>
  <c r="H23" i="6"/>
  <c r="N24" i="6"/>
  <c r="AA24" i="6"/>
  <c r="Z25" i="6"/>
  <c r="P25" i="6"/>
  <c r="V25" i="6"/>
  <c r="Q25" i="6"/>
  <c r="D23" i="6"/>
  <c r="K25" i="6"/>
  <c r="Q24" i="6"/>
  <c r="Y23" i="6"/>
  <c r="W23" i="6"/>
  <c r="U25" i="6"/>
  <c r="P24" i="6"/>
  <c r="Z24" i="6"/>
  <c r="C25" i="6"/>
  <c r="M23" i="6"/>
  <c r="F24" i="6"/>
  <c r="G25" i="6"/>
  <c r="C23" i="6"/>
  <c r="AE25" i="6"/>
  <c r="L25" i="6"/>
  <c r="L24" i="6"/>
  <c r="AF24" i="6"/>
  <c r="M25" i="6"/>
  <c r="I23" i="6"/>
  <c r="I24" i="6"/>
  <c r="AF25" i="6"/>
  <c r="AB23" i="6"/>
  <c r="AC24" i="6"/>
  <c r="I25" i="6"/>
  <c r="F25" i="6"/>
  <c r="V24" i="6"/>
  <c r="D24" i="6"/>
  <c r="H24" i="6"/>
  <c r="E25" i="6"/>
  <c r="AE24" i="6"/>
  <c r="J24" i="6"/>
  <c r="O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tc={6C2BDDC1-600C-41F4-8D51-E3CE4B8B4A06}</author>
  </authors>
  <commentList>
    <comment ref="P23" authorId="0" shapeId="0" xr:uid="{6C2BDDC1-600C-41F4-8D51-E3CE4B8B4A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The tissue was at too much of an angle, so each z plane only included half the normal amount of cells detected on tissue. Took the average of 6 z-planes to account for this.</t>
      </text>
    </comment>
  </commentList>
</comments>
</file>

<file path=xl/sharedStrings.xml><?xml version="1.0" encoding="utf-8"?>
<sst xmlns="http://schemas.openxmlformats.org/spreadsheetml/2006/main" count="1573" uniqueCount="156">
  <si>
    <t>SPOTS AND CLUSTERS</t>
  </si>
  <si>
    <t>Animal</t>
  </si>
  <si>
    <t>M2_6W</t>
  </si>
  <si>
    <t>M4_6W</t>
  </si>
  <si>
    <t>M5_6W</t>
  </si>
  <si>
    <t>M3_6w</t>
  </si>
  <si>
    <t>M6_6w</t>
  </si>
  <si>
    <t>M1_16W</t>
  </si>
  <si>
    <t>M3_16W</t>
  </si>
  <si>
    <t>M4_16W</t>
  </si>
  <si>
    <t>M2_16w</t>
  </si>
  <si>
    <t>M5_16w</t>
  </si>
  <si>
    <t>M1_26W</t>
  </si>
  <si>
    <t>M2_26W</t>
  </si>
  <si>
    <t>M3_26W</t>
  </si>
  <si>
    <t>M4_26w</t>
  </si>
  <si>
    <t>M5_26w</t>
  </si>
  <si>
    <t>F1_6W</t>
  </si>
  <si>
    <t>F3_6W</t>
  </si>
  <si>
    <t>F6_6W</t>
  </si>
  <si>
    <t>F4_6w</t>
  </si>
  <si>
    <t>F5_6w</t>
  </si>
  <si>
    <t>F1_16W</t>
  </si>
  <si>
    <t>F2_16W</t>
  </si>
  <si>
    <t>F3_16W</t>
  </si>
  <si>
    <t>F4_16w</t>
  </si>
  <si>
    <t>F5_16w</t>
  </si>
  <si>
    <t>F1_26W</t>
  </si>
  <si>
    <t>F2_26W</t>
  </si>
  <si>
    <t>F3_26W</t>
  </si>
  <si>
    <t>F4_26w</t>
  </si>
  <si>
    <t>F5_26w</t>
  </si>
  <si>
    <t>DAPI</t>
  </si>
  <si>
    <t>2ndCohort</t>
  </si>
  <si>
    <t>znfx1</t>
  </si>
  <si>
    <t>helz2</t>
  </si>
  <si>
    <t>ifih1</t>
  </si>
  <si>
    <t>znfx1:DAPI</t>
  </si>
  <si>
    <t>helz2:DAPI</t>
  </si>
  <si>
    <t>ifih1:DAPI</t>
  </si>
  <si>
    <t>MEDIAN VALUES</t>
  </si>
  <si>
    <t>COHORT 1</t>
  </si>
  <si>
    <t>COHORT 2</t>
  </si>
  <si>
    <t>Image</t>
  </si>
  <si>
    <t>Z index</t>
  </si>
  <si>
    <t>Num Detections</t>
  </si>
  <si>
    <t>Number of CELLS</t>
  </si>
  <si>
    <t>cluster: Channel 2</t>
  </si>
  <si>
    <t>cluster: Channel 3</t>
  </si>
  <si>
    <t xml:space="preserve">cluster: Channel 4 </t>
  </si>
  <si>
    <t>spot: Channel 2</t>
  </si>
  <si>
    <t>spot: Channel 3</t>
  </si>
  <si>
    <t xml:space="preserve">spot: Channel 4 </t>
  </si>
  <si>
    <t>Channel 2 Spots and Clusters</t>
  </si>
  <si>
    <t>Channel 3 Spots and Clusters</t>
  </si>
  <si>
    <t>Channel 4 Spots and Clusters</t>
  </si>
  <si>
    <t>F1_6w</t>
  </si>
  <si>
    <t>AVERAGE</t>
  </si>
  <si>
    <t>F3_6w</t>
  </si>
  <si>
    <t>F6_6w</t>
  </si>
  <si>
    <t>F1_16w</t>
  </si>
  <si>
    <t>F2_16w</t>
  </si>
  <si>
    <t>F3_16w</t>
  </si>
  <si>
    <t>F1_26w</t>
  </si>
  <si>
    <t>F2_26w</t>
  </si>
  <si>
    <t>F3_26w</t>
  </si>
  <si>
    <t>M2_6w</t>
  </si>
  <si>
    <t>M4_6w</t>
  </si>
  <si>
    <t>M1_16w</t>
  </si>
  <si>
    <t>M1_26w</t>
  </si>
  <si>
    <t>M2_26w</t>
  </si>
  <si>
    <t>M3_16w</t>
  </si>
  <si>
    <t>M3_26w</t>
  </si>
  <si>
    <t>M4_16w</t>
  </si>
  <si>
    <t>M5_6w</t>
  </si>
  <si>
    <t>F4_6w_2ndCohort</t>
  </si>
  <si>
    <t>F5_6w_2ndCohort</t>
  </si>
  <si>
    <t>F4_16w_2ndCohort</t>
  </si>
  <si>
    <t>F5_16w_2ndCohort</t>
  </si>
  <si>
    <t>F4_26w_2ndCohort</t>
  </si>
  <si>
    <t>F5_26w_2ndCohort</t>
  </si>
  <si>
    <t>M3_6w_2ndCohort</t>
  </si>
  <si>
    <t>M6_6w_2ndCohort</t>
  </si>
  <si>
    <t>M2_16w_2ndCohort</t>
  </si>
  <si>
    <t>M5_16w_2ndCohort</t>
  </si>
  <si>
    <t>M4_26w_2ndCohort</t>
  </si>
  <si>
    <t>M5_26w_2ndCohort</t>
  </si>
  <si>
    <t>optn</t>
  </si>
  <si>
    <t>irf3</t>
  </si>
  <si>
    <t>stat1a</t>
  </si>
  <si>
    <t>optn:DAPI</t>
  </si>
  <si>
    <t>irf3:DAPI</t>
  </si>
  <si>
    <t>stat1a:DAPI</t>
  </si>
  <si>
    <t>M1_6W</t>
  </si>
  <si>
    <t>M3_6W</t>
  </si>
  <si>
    <t>M6_6W</t>
  </si>
  <si>
    <t>M2_16W</t>
  </si>
  <si>
    <t>M5_16W</t>
  </si>
  <si>
    <t>M4_26W</t>
  </si>
  <si>
    <t>M5_26W</t>
  </si>
  <si>
    <t>F4_6W</t>
  </si>
  <si>
    <t>F5_6W</t>
  </si>
  <si>
    <t>F4_16W</t>
  </si>
  <si>
    <t>F5_16W</t>
  </si>
  <si>
    <t>F4_26W</t>
  </si>
  <si>
    <t>F5_26W</t>
  </si>
  <si>
    <t>M1_6w</t>
  </si>
  <si>
    <t>1st COHORT ZMZ</t>
  </si>
  <si>
    <t>2nd COHORT ZMZ</t>
  </si>
  <si>
    <t>GRZ</t>
  </si>
  <si>
    <t>ZMZ</t>
  </si>
  <si>
    <t>Num Subcellular cluster: Channel 2 object</t>
  </si>
  <si>
    <t>Num Subcellular cluster: Channel 3 object</t>
  </si>
  <si>
    <t>Num Subcellular cluster: Channel 4 object</t>
  </si>
  <si>
    <t>Num Subcellular spot: Channel 2 object</t>
  </si>
  <si>
    <t>Num Subcellular spot: Channel 3 object</t>
  </si>
  <si>
    <t>Num Subcellular spot: Channel 4 object</t>
  </si>
  <si>
    <t>F1_6w_GRZ</t>
  </si>
  <si>
    <t>F1_16w_GRZ</t>
  </si>
  <si>
    <t>F2_6w_GRZ</t>
  </si>
  <si>
    <t>F2_16w_GRZ</t>
  </si>
  <si>
    <t>F3_6w_GRZ</t>
  </si>
  <si>
    <t>F3_16w_GRZ</t>
  </si>
  <si>
    <t>F4_6w_GRZ</t>
  </si>
  <si>
    <t>F4_16w_GRZ</t>
  </si>
  <si>
    <t>F5_6w_GRZ</t>
  </si>
  <si>
    <t>F5_16w_GRZ</t>
  </si>
  <si>
    <t>M1_6w_GRZ</t>
  </si>
  <si>
    <t>M1_16w_GRZ</t>
  </si>
  <si>
    <t>M2_6w_GRZ</t>
  </si>
  <si>
    <t>M2_16w_GRZ</t>
  </si>
  <si>
    <t>M3_6w_GRZ</t>
  </si>
  <si>
    <t>M3_16w_GRZ</t>
  </si>
  <si>
    <t>M4_6w_GRZ</t>
  </si>
  <si>
    <t>M4_16w_GRZ</t>
  </si>
  <si>
    <t>M5_6w_GRZ</t>
  </si>
  <si>
    <t>M5_16w_GRZ</t>
  </si>
  <si>
    <t>F1_16w_GRZ (very bad angle)</t>
  </si>
  <si>
    <t>F2_6W</t>
  </si>
  <si>
    <t>ZMZ Formatted for B</t>
  </si>
  <si>
    <t>GRZ Formatted for B</t>
  </si>
  <si>
    <t>Cohort</t>
  </si>
  <si>
    <t>Group</t>
  </si>
  <si>
    <t>Age</t>
  </si>
  <si>
    <t>Sex</t>
  </si>
  <si>
    <t>YM</t>
  </si>
  <si>
    <t>OM</t>
  </si>
  <si>
    <t>GM</t>
  </si>
  <si>
    <t>YF</t>
  </si>
  <si>
    <t>OF</t>
  </si>
  <si>
    <t>GF</t>
  </si>
  <si>
    <t>Young</t>
  </si>
  <si>
    <t>Old</t>
  </si>
  <si>
    <t>Geriatric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</si>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</sst>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</font>
    <font>
      <b/>
      <sz val="16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sz val="36"/>
      <color theme="1"/>
      <name val="Aptos Narrow"/>
      <family val="2"/>
      <scheme val="minor"/>
    </font>
    <font>
      <b/>
      <sz val="36"/>
      <color rgb="FF000000"/>
      <name val="Aptos Narrow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3" fillId="0" borderId="0" xfId="0" applyFont="1"/>
    <xf numFmtId="0" fontId="0" fillId="2" borderId="12" xfId="0" applyFill="1" applyBorder="1"/>
    <xf numFmtId="0" fontId="0" fillId="2" borderId="0" xfId="0" applyFill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21" xfId="0" applyBorder="1"/>
    <xf numFmtId="0" fontId="0" fillId="2" borderId="18" xfId="0" applyFill="1" applyBorder="1"/>
    <xf numFmtId="0" fontId="0" fillId="2" borderId="19" xfId="0" applyFill="1" applyBorder="1"/>
    <xf numFmtId="0" fontId="5" fillId="0" borderId="20" xfId="0" applyFont="1" applyBorder="1"/>
    <xf numFmtId="0" fontId="0" fillId="3" borderId="22" xfId="0" applyFill="1" applyBorder="1"/>
    <xf numFmtId="0" fontId="0" fillId="3" borderId="13" xfId="0" applyFill="1" applyBorder="1"/>
    <xf numFmtId="0" fontId="0" fillId="3" borderId="16" xfId="0" applyFill="1" applyBorder="1"/>
    <xf numFmtId="0" fontId="0" fillId="0" borderId="20" xfId="0" applyBorder="1"/>
    <xf numFmtId="0" fontId="0" fillId="0" borderId="22" xfId="0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16" xfId="0" applyBorder="1"/>
    <xf numFmtId="0" fontId="9" fillId="0" borderId="0" xfId="0" applyFont="1"/>
    <xf numFmtId="0" fontId="0" fillId="0" borderId="0" xfId="0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al Williams" id="{6B209C4D-0DA5-4537-83F6-C06E647A8FBA}" userId="3058a5b15a6615c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3" dT="2025-12-22T23:43:37.89" personId="{6B209C4D-0DA5-4537-83F6-C06E647A8FBA}" id="{6C2BDDC1-600C-41F4-8D51-E3CE4B8B4A06}">
    <text>The tissue was at too much of an angle, so each z plane only included half the normal amount of cells detected on tissue. Took the average of 6 z-planes to account for this.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607E-CF9A-7240-BF66-4CB117C44A4A}">
  <dimension ref="A1:K21"/>
  <sheetViews>
    <sheetView workbookViewId="0">
      <selection activeCell="I1" sqref="I1:K1"/>
    </sheetView>
  </sheetViews>
  <sheetFormatPr baseColWidth="10" defaultRowHeight="16" x14ac:dyDescent="0.2"/>
  <sheetData>
    <row r="1" spans="1:11" ht="17" thickBot="1" x14ac:dyDescent="0.25">
      <c r="A1" s="6" t="s">
        <v>1</v>
      </c>
      <c r="B1" s="7" t="s">
        <v>141</v>
      </c>
      <c r="C1" s="7" t="s">
        <v>142</v>
      </c>
      <c r="D1" s="7" t="s">
        <v>143</v>
      </c>
      <c r="E1" s="7" t="s">
        <v>144</v>
      </c>
      <c r="F1" s="6" t="s">
        <v>37</v>
      </c>
      <c r="G1" s="7" t="s">
        <v>38</v>
      </c>
      <c r="H1" s="8" t="s">
        <v>39</v>
      </c>
      <c r="I1" s="7" t="s">
        <v>90</v>
      </c>
      <c r="J1" s="7" t="s">
        <v>91</v>
      </c>
      <c r="K1" s="8" t="s">
        <v>92</v>
      </c>
    </row>
    <row r="2" spans="1:11" x14ac:dyDescent="0.2">
      <c r="A2" s="2" t="s">
        <v>93</v>
      </c>
      <c r="B2">
        <v>1</v>
      </c>
      <c r="C2" t="s">
        <v>145</v>
      </c>
      <c r="D2" t="s">
        <v>151</v>
      </c>
      <c r="E2" t="s">
        <v>154</v>
      </c>
      <c r="F2" s="36">
        <v>1.0875037280047719</v>
      </c>
      <c r="G2" s="29">
        <v>5.1065911124366243</v>
      </c>
      <c r="H2" s="37">
        <v>2.4042350134208172</v>
      </c>
      <c r="I2" s="43">
        <v>3.6119892633462571</v>
      </c>
      <c r="J2" s="43">
        <v>5.6839844915001496</v>
      </c>
      <c r="K2" s="3">
        <v>4.2591112436623915</v>
      </c>
    </row>
    <row r="3" spans="1:11" x14ac:dyDescent="0.2">
      <c r="A3" s="2" t="s">
        <v>2</v>
      </c>
      <c r="B3">
        <v>1</v>
      </c>
      <c r="C3" t="s">
        <v>145</v>
      </c>
      <c r="D3" t="s">
        <v>151</v>
      </c>
      <c r="E3" t="s">
        <v>154</v>
      </c>
      <c r="F3" s="2">
        <v>0.243123886263268</v>
      </c>
      <c r="G3" s="43">
        <v>3.4708297822886807</v>
      </c>
      <c r="H3" s="3">
        <v>2.1663438444255059</v>
      </c>
      <c r="I3" s="43">
        <v>1.8740878629932982</v>
      </c>
      <c r="J3" s="43">
        <v>3.6424422933730454</v>
      </c>
      <c r="K3" s="3">
        <v>2.344303797468354</v>
      </c>
    </row>
    <row r="4" spans="1:11" x14ac:dyDescent="0.2">
      <c r="A4" s="2" t="s">
        <v>5</v>
      </c>
      <c r="B4">
        <v>1</v>
      </c>
      <c r="C4" t="s">
        <v>145</v>
      </c>
      <c r="D4" t="s">
        <v>151</v>
      </c>
      <c r="E4" t="s">
        <v>154</v>
      </c>
      <c r="F4" s="2">
        <v>1.6355617054397646</v>
      </c>
      <c r="G4" s="43">
        <v>5.3033814753956587</v>
      </c>
      <c r="H4" s="3">
        <v>2.9925624837844849</v>
      </c>
      <c r="I4" s="43">
        <v>2.7967940641187177</v>
      </c>
      <c r="J4" s="43">
        <v>2.997970040599188</v>
      </c>
      <c r="K4" s="3">
        <v>2.73302533949321</v>
      </c>
    </row>
    <row r="5" spans="1:11" x14ac:dyDescent="0.2">
      <c r="A5" s="2" t="s">
        <v>67</v>
      </c>
      <c r="B5">
        <v>1</v>
      </c>
      <c r="C5" t="s">
        <v>145</v>
      </c>
      <c r="D5" t="s">
        <v>151</v>
      </c>
      <c r="E5" t="s">
        <v>154</v>
      </c>
      <c r="F5" s="2">
        <v>0.74486323779609998</v>
      </c>
      <c r="G5" s="43">
        <v>5.2994372464337127</v>
      </c>
      <c r="H5" s="3">
        <v>2.6352571652925012</v>
      </c>
      <c r="I5" s="43">
        <v>2.5543056190041118</v>
      </c>
      <c r="J5" s="43">
        <v>3.5433988122430335</v>
      </c>
      <c r="K5" s="3">
        <v>2.1847875742348108</v>
      </c>
    </row>
    <row r="6" spans="1:11" x14ac:dyDescent="0.2">
      <c r="A6" s="2" t="s">
        <v>74</v>
      </c>
      <c r="B6">
        <v>1</v>
      </c>
      <c r="C6" t="s">
        <v>145</v>
      </c>
      <c r="D6" t="s">
        <v>151</v>
      </c>
      <c r="E6" t="s">
        <v>154</v>
      </c>
      <c r="F6" s="2">
        <v>0.63852102977010272</v>
      </c>
      <c r="G6" s="43">
        <v>4.2508210615531308</v>
      </c>
      <c r="H6" s="3">
        <v>2.6614048098315495</v>
      </c>
      <c r="I6" s="43">
        <v>1.9143198498037206</v>
      </c>
      <c r="J6" s="43">
        <v>3.1737497866530124</v>
      </c>
      <c r="K6" s="3">
        <v>2.0259429936849291</v>
      </c>
    </row>
    <row r="7" spans="1:11" x14ac:dyDescent="0.2">
      <c r="A7" s="2" t="s">
        <v>7</v>
      </c>
      <c r="B7">
        <v>1</v>
      </c>
      <c r="C7" t="s">
        <v>146</v>
      </c>
      <c r="D7" t="s">
        <v>152</v>
      </c>
      <c r="E7" t="s">
        <v>154</v>
      </c>
      <c r="F7" s="2">
        <v>1.1224011987263531</v>
      </c>
      <c r="G7" s="43">
        <v>3.2400262221389773</v>
      </c>
      <c r="H7" s="3">
        <v>2.6055441093837794</v>
      </c>
      <c r="I7" s="43">
        <v>4.7344767021386502</v>
      </c>
      <c r="J7" s="43">
        <v>4.7084409546440744</v>
      </c>
      <c r="K7" s="3">
        <v>3.3354685401384443</v>
      </c>
    </row>
    <row r="8" spans="1:11" x14ac:dyDescent="0.2">
      <c r="A8" s="2" t="s">
        <v>96</v>
      </c>
      <c r="B8">
        <v>1</v>
      </c>
      <c r="C8" t="s">
        <v>146</v>
      </c>
      <c r="D8" t="s">
        <v>152</v>
      </c>
      <c r="E8" t="s">
        <v>154</v>
      </c>
      <c r="F8" s="2">
        <v>0.9509345794392523</v>
      </c>
      <c r="G8" s="43">
        <v>2.0690314358538657</v>
      </c>
      <c r="H8" s="3">
        <v>1.5297366185216652</v>
      </c>
      <c r="I8" s="43">
        <v>1.8356359043183077</v>
      </c>
      <c r="J8" s="43">
        <v>3.5935106970869191</v>
      </c>
      <c r="K8" s="3">
        <v>1.9366069313965424</v>
      </c>
    </row>
    <row r="9" spans="1:11" x14ac:dyDescent="0.2">
      <c r="A9" s="2" t="s">
        <v>8</v>
      </c>
      <c r="B9">
        <v>1</v>
      </c>
      <c r="C9" t="s">
        <v>146</v>
      </c>
      <c r="D9" t="s">
        <v>152</v>
      </c>
      <c r="E9" t="s">
        <v>154</v>
      </c>
      <c r="F9" s="2">
        <v>3.1386138613861387</v>
      </c>
      <c r="G9" s="43">
        <v>5.2352787910369987</v>
      </c>
      <c r="H9" s="3">
        <v>4.8826645822476991</v>
      </c>
      <c r="I9" s="43">
        <v>4.7003873466752752</v>
      </c>
      <c r="J9" s="43">
        <v>5.2929632020658488</v>
      </c>
      <c r="K9" s="3">
        <v>3.4734667527437062</v>
      </c>
    </row>
    <row r="10" spans="1:11" x14ac:dyDescent="0.2">
      <c r="A10" s="2" t="s">
        <v>9</v>
      </c>
      <c r="B10">
        <v>1</v>
      </c>
      <c r="C10" t="s">
        <v>146</v>
      </c>
      <c r="D10" t="s">
        <v>152</v>
      </c>
      <c r="E10" t="s">
        <v>154</v>
      </c>
      <c r="F10" s="2">
        <v>4.3671057426979747</v>
      </c>
      <c r="G10" s="43">
        <v>7.1663456031655137</v>
      </c>
      <c r="H10" s="3">
        <v>4.2553756442963504</v>
      </c>
      <c r="I10" s="43">
        <v>2.6137453874538745</v>
      </c>
      <c r="J10" s="43">
        <v>4.2747232472324725</v>
      </c>
      <c r="K10" s="3">
        <v>4.0416051660516601</v>
      </c>
    </row>
    <row r="11" spans="1:11" ht="17" thickBot="1" x14ac:dyDescent="0.25">
      <c r="A11" s="4" t="s">
        <v>97</v>
      </c>
      <c r="B11" s="5">
        <v>1</v>
      </c>
      <c r="C11" s="5" t="s">
        <v>146</v>
      </c>
      <c r="D11" s="5" t="s">
        <v>152</v>
      </c>
      <c r="E11" s="5" t="s">
        <v>154</v>
      </c>
      <c r="F11" s="4">
        <v>3.0421846341960461</v>
      </c>
      <c r="G11" s="5">
        <v>4.5382107193804764</v>
      </c>
      <c r="H11" s="41">
        <v>3.3509272467902993</v>
      </c>
      <c r="I11" s="5">
        <v>3.1790332777745842</v>
      </c>
      <c r="J11" s="5">
        <v>4.9144778435542271</v>
      </c>
      <c r="K11" s="41">
        <v>4.1113282372550142</v>
      </c>
    </row>
    <row r="12" spans="1:11" x14ac:dyDescent="0.2">
      <c r="A12" s="36" t="s">
        <v>17</v>
      </c>
      <c r="B12" s="29">
        <v>1</v>
      </c>
      <c r="C12" s="29" t="s">
        <v>148</v>
      </c>
      <c r="D12" s="29" t="s">
        <v>151</v>
      </c>
      <c r="E12" s="29" t="s">
        <v>155</v>
      </c>
      <c r="F12" s="36">
        <v>1.2339630198251117</v>
      </c>
      <c r="G12" s="29">
        <v>3.6641078699686265</v>
      </c>
      <c r="H12" s="37">
        <v>3.6213203390961883</v>
      </c>
      <c r="I12" s="29">
        <v>1.9194196580614398</v>
      </c>
      <c r="J12" s="29">
        <v>3.1200871875212859</v>
      </c>
      <c r="K12" s="37">
        <v>3.0519038212655811</v>
      </c>
    </row>
    <row r="13" spans="1:11" x14ac:dyDescent="0.2">
      <c r="A13" s="2" t="s">
        <v>138</v>
      </c>
      <c r="B13">
        <v>1</v>
      </c>
      <c r="C13" t="s">
        <v>148</v>
      </c>
      <c r="D13" t="s">
        <v>151</v>
      </c>
      <c r="E13" t="s">
        <v>155</v>
      </c>
      <c r="F13" s="2">
        <v>1.1403621214548951</v>
      </c>
      <c r="G13" s="43">
        <v>4.3178443625487368</v>
      </c>
      <c r="H13" s="3">
        <v>2.8694653634567109</v>
      </c>
      <c r="I13" s="43">
        <v>2.2623391228289393</v>
      </c>
      <c r="J13" s="43">
        <v>4.165000624765713</v>
      </c>
      <c r="K13" s="3">
        <v>2.2547794577033615</v>
      </c>
    </row>
    <row r="14" spans="1:11" x14ac:dyDescent="0.2">
      <c r="A14" s="2" t="s">
        <v>18</v>
      </c>
      <c r="B14">
        <v>1</v>
      </c>
      <c r="C14" t="s">
        <v>148</v>
      </c>
      <c r="D14" t="s">
        <v>151</v>
      </c>
      <c r="E14" t="s">
        <v>155</v>
      </c>
      <c r="F14" s="2">
        <v>0.48580470162748646</v>
      </c>
      <c r="G14" s="43">
        <v>4.373643761301989</v>
      </c>
      <c r="H14" s="3">
        <v>2.9309674502712477</v>
      </c>
      <c r="I14" s="43">
        <v>3.3337488573090668</v>
      </c>
      <c r="J14" s="43">
        <v>3.338568935427574</v>
      </c>
      <c r="K14" s="3">
        <v>2.6560292528878917</v>
      </c>
    </row>
    <row r="15" spans="1:11" x14ac:dyDescent="0.2">
      <c r="A15" s="2" t="s">
        <v>100</v>
      </c>
      <c r="B15">
        <v>1</v>
      </c>
      <c r="C15" t="s">
        <v>148</v>
      </c>
      <c r="D15" t="s">
        <v>151</v>
      </c>
      <c r="E15" t="s">
        <v>155</v>
      </c>
      <c r="F15" s="2">
        <v>0.18263718263718265</v>
      </c>
      <c r="G15" s="43">
        <v>3.8152838152838155</v>
      </c>
      <c r="H15" s="3">
        <v>1.8732438732438734</v>
      </c>
      <c r="I15" s="43">
        <v>3.1444910721632522</v>
      </c>
      <c r="J15" s="43">
        <v>3.8738583065909653</v>
      </c>
      <c r="K15" s="3">
        <v>2.0744672097424504</v>
      </c>
    </row>
    <row r="16" spans="1:11" x14ac:dyDescent="0.2">
      <c r="A16" s="2" t="s">
        <v>101</v>
      </c>
      <c r="B16">
        <v>1</v>
      </c>
      <c r="C16" t="s">
        <v>148</v>
      </c>
      <c r="D16" t="s">
        <v>151</v>
      </c>
      <c r="E16" t="s">
        <v>155</v>
      </c>
      <c r="F16" s="2">
        <v>0.49857495724871748</v>
      </c>
      <c r="G16" s="43">
        <v>4.393311799353981</v>
      </c>
      <c r="H16" s="3">
        <v>2.8173411869022735</v>
      </c>
      <c r="I16" s="43">
        <v>2.6095302759088947</v>
      </c>
      <c r="J16" s="43">
        <v>5.2603542991173393</v>
      </c>
      <c r="K16" s="3">
        <v>3.0816616258255665</v>
      </c>
    </row>
    <row r="17" spans="1:11" x14ac:dyDescent="0.2">
      <c r="A17" s="2" t="s">
        <v>22</v>
      </c>
      <c r="B17">
        <v>1</v>
      </c>
      <c r="C17" t="s">
        <v>149</v>
      </c>
      <c r="D17" t="s">
        <v>152</v>
      </c>
      <c r="E17" t="s">
        <v>155</v>
      </c>
      <c r="F17" s="2">
        <v>5.1218724032868623</v>
      </c>
      <c r="G17" s="43">
        <v>6.2445757547779523</v>
      </c>
      <c r="H17" s="3">
        <v>4.7151694211060837</v>
      </c>
      <c r="I17" s="43">
        <v>4.1143154273829055</v>
      </c>
      <c r="J17" s="43">
        <v>3.2554697812087521</v>
      </c>
      <c r="K17" s="3">
        <v>2.8723651053957844</v>
      </c>
    </row>
    <row r="18" spans="1:11" x14ac:dyDescent="0.2">
      <c r="A18" s="2" t="s">
        <v>23</v>
      </c>
      <c r="B18">
        <v>1</v>
      </c>
      <c r="C18" t="s">
        <v>149</v>
      </c>
      <c r="D18" t="s">
        <v>152</v>
      </c>
      <c r="E18" t="s">
        <v>155</v>
      </c>
      <c r="F18" s="2">
        <v>4.1414982164090368</v>
      </c>
      <c r="G18" s="43">
        <v>5.6843043995243763</v>
      </c>
      <c r="H18" s="3">
        <v>4.0934493568262891</v>
      </c>
      <c r="I18" s="43">
        <v>4.6306236725236536</v>
      </c>
      <c r="J18" s="43">
        <v>4.0784900559953661</v>
      </c>
      <c r="K18" s="3">
        <v>3.939418806719444</v>
      </c>
    </row>
    <row r="19" spans="1:11" x14ac:dyDescent="0.2">
      <c r="A19" s="2" t="s">
        <v>24</v>
      </c>
      <c r="B19">
        <v>1</v>
      </c>
      <c r="C19" t="s">
        <v>149</v>
      </c>
      <c r="D19" t="s">
        <v>152</v>
      </c>
      <c r="E19" t="s">
        <v>155</v>
      </c>
      <c r="F19" s="2">
        <v>4.8698771549499327</v>
      </c>
      <c r="G19" s="43">
        <v>6.7920408795292664</v>
      </c>
      <c r="H19" s="3">
        <v>5.1622793434499847</v>
      </c>
      <c r="I19" s="43">
        <v>2.402745440434614</v>
      </c>
      <c r="J19" s="43">
        <v>3.1253395421032204</v>
      </c>
      <c r="K19" s="3">
        <v>3.8738358556461003</v>
      </c>
    </row>
    <row r="20" spans="1:11" x14ac:dyDescent="0.2">
      <c r="A20" s="2" t="s">
        <v>102</v>
      </c>
      <c r="B20">
        <v>1</v>
      </c>
      <c r="C20" t="s">
        <v>149</v>
      </c>
      <c r="D20" t="s">
        <v>152</v>
      </c>
      <c r="E20" t="s">
        <v>155</v>
      </c>
      <c r="F20" s="2">
        <v>3.102124891587164</v>
      </c>
      <c r="G20" s="43">
        <v>4.7768863833477884</v>
      </c>
      <c r="H20" s="3">
        <v>3.6715091066782306</v>
      </c>
      <c r="I20" s="43">
        <v>3.921378567582122</v>
      </c>
      <c r="J20" s="43">
        <v>3.1877417143976108</v>
      </c>
      <c r="K20" s="3">
        <v>4.2219611298771236</v>
      </c>
    </row>
    <row r="21" spans="1:11" ht="17" thickBot="1" x14ac:dyDescent="0.25">
      <c r="A21" s="4" t="s">
        <v>103</v>
      </c>
      <c r="B21" s="5">
        <v>1</v>
      </c>
      <c r="C21" s="5" t="s">
        <v>149</v>
      </c>
      <c r="D21" s="5" t="s">
        <v>152</v>
      </c>
      <c r="E21" s="5" t="s">
        <v>155</v>
      </c>
      <c r="F21" s="4">
        <v>4.1160601598653761</v>
      </c>
      <c r="G21" s="5">
        <v>5.502629364745478</v>
      </c>
      <c r="H21" s="41">
        <v>4.0411232646192676</v>
      </c>
      <c r="I21" s="5">
        <v>3.8546065038406696</v>
      </c>
      <c r="J21" s="5">
        <v>4.0321972310381309</v>
      </c>
      <c r="K21" s="41">
        <v>5.0172945126719108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04A5-BEC8-6947-B48D-F300820FF0CD}">
  <dimension ref="A1:K31"/>
  <sheetViews>
    <sheetView tabSelected="1" workbookViewId="0">
      <selection activeCell="R23" sqref="R23"/>
    </sheetView>
  </sheetViews>
  <sheetFormatPr baseColWidth="10" defaultRowHeight="16" x14ac:dyDescent="0.2"/>
  <sheetData>
    <row r="1" spans="1:11" ht="17" thickBot="1" x14ac:dyDescent="0.25">
      <c r="A1" s="6" t="s">
        <v>1</v>
      </c>
      <c r="B1" s="7" t="s">
        <v>141</v>
      </c>
      <c r="C1" s="7" t="s">
        <v>142</v>
      </c>
      <c r="D1" s="7" t="s">
        <v>143</v>
      </c>
      <c r="E1" s="7" t="s">
        <v>144</v>
      </c>
      <c r="F1" s="6" t="s">
        <v>37</v>
      </c>
      <c r="G1" s="7" t="s">
        <v>38</v>
      </c>
      <c r="H1" s="8" t="s">
        <v>39</v>
      </c>
      <c r="I1" s="7" t="s">
        <v>90</v>
      </c>
      <c r="J1" s="7" t="s">
        <v>91</v>
      </c>
      <c r="K1" s="8" t="s">
        <v>92</v>
      </c>
    </row>
    <row r="2" spans="1:11" x14ac:dyDescent="0.2">
      <c r="A2" s="36" t="s">
        <v>2</v>
      </c>
      <c r="B2" s="29">
        <v>1</v>
      </c>
      <c r="C2" s="29" t="s">
        <v>145</v>
      </c>
      <c r="D2" s="29" t="s">
        <v>151</v>
      </c>
      <c r="E2" s="29" t="s">
        <v>154</v>
      </c>
      <c r="F2" s="36">
        <v>6.585617800953516</v>
      </c>
      <c r="G2" s="29">
        <v>6.7562574493444574</v>
      </c>
      <c r="H2" s="37">
        <v>2.9501390542312276</v>
      </c>
      <c r="I2" s="29">
        <v>3.0117394593522167</v>
      </c>
      <c r="J2" s="29">
        <v>2.7028528144783066</v>
      </c>
      <c r="K2" s="37">
        <v>2.0484726075424802</v>
      </c>
    </row>
    <row r="3" spans="1:11" x14ac:dyDescent="0.2">
      <c r="A3" s="2" t="s">
        <v>3</v>
      </c>
      <c r="B3">
        <v>1</v>
      </c>
      <c r="C3" t="s">
        <v>145</v>
      </c>
      <c r="D3" t="s">
        <v>151</v>
      </c>
      <c r="E3" t="s">
        <v>154</v>
      </c>
      <c r="F3" s="2">
        <v>4.3780193243819268</v>
      </c>
      <c r="G3" s="43">
        <v>2.9330065366581417</v>
      </c>
      <c r="H3" s="3">
        <v>2.1420147762148338</v>
      </c>
      <c r="I3" s="43">
        <v>4.2694934541449214</v>
      </c>
      <c r="J3" s="43">
        <v>3.3157370514633273</v>
      </c>
      <c r="K3" s="3">
        <v>2.440381331468358</v>
      </c>
    </row>
    <row r="4" spans="1:11" x14ac:dyDescent="0.2">
      <c r="A4" s="2" t="s">
        <v>4</v>
      </c>
      <c r="B4">
        <v>1</v>
      </c>
      <c r="C4" t="s">
        <v>145</v>
      </c>
      <c r="D4" t="s">
        <v>151</v>
      </c>
      <c r="E4" t="s">
        <v>154</v>
      </c>
      <c r="F4" s="2">
        <v>6.1934031759540513</v>
      </c>
      <c r="G4" s="43">
        <v>5.9215092473464148</v>
      </c>
      <c r="H4" s="3">
        <v>2.5510721891839032</v>
      </c>
      <c r="I4" s="43">
        <v>4.7935136342490754</v>
      </c>
      <c r="J4" s="43">
        <v>2.6655818655218924</v>
      </c>
      <c r="K4" s="3">
        <v>2.8707215803917316</v>
      </c>
    </row>
    <row r="5" spans="1:11" x14ac:dyDescent="0.2">
      <c r="A5" s="23" t="s">
        <v>5</v>
      </c>
      <c r="B5" s="24">
        <v>2</v>
      </c>
      <c r="C5" s="24" t="s">
        <v>145</v>
      </c>
      <c r="D5" s="24" t="s">
        <v>151</v>
      </c>
      <c r="E5" s="24" t="s">
        <v>154</v>
      </c>
      <c r="F5" s="23">
        <v>8.1272946536245474</v>
      </c>
      <c r="G5" s="44">
        <v>5.4492161329224178</v>
      </c>
      <c r="H5" s="25">
        <v>7.1729867345571492</v>
      </c>
      <c r="I5" s="44">
        <v>6.1150008004696099</v>
      </c>
      <c r="J5" s="44">
        <v>2.4573349698489784</v>
      </c>
      <c r="K5" s="25">
        <v>5.0725225465606494</v>
      </c>
    </row>
    <row r="6" spans="1:11" x14ac:dyDescent="0.2">
      <c r="A6" s="23" t="s">
        <v>6</v>
      </c>
      <c r="B6" s="24">
        <v>2</v>
      </c>
      <c r="C6" s="24" t="s">
        <v>145</v>
      </c>
      <c r="D6" s="24" t="s">
        <v>151</v>
      </c>
      <c r="E6" s="24" t="s">
        <v>154</v>
      </c>
      <c r="F6" s="23">
        <v>6.1211857601713069</v>
      </c>
      <c r="G6" s="44">
        <v>5.8422778372591004</v>
      </c>
      <c r="H6" s="25">
        <v>5.4538276231263385</v>
      </c>
      <c r="I6" s="44">
        <v>6.0481528079606539</v>
      </c>
      <c r="J6" s="44">
        <v>4.9169621411414841</v>
      </c>
      <c r="K6" s="25">
        <v>7.2741049982843418</v>
      </c>
    </row>
    <row r="7" spans="1:11" x14ac:dyDescent="0.2">
      <c r="A7" s="2" t="s">
        <v>7</v>
      </c>
      <c r="B7">
        <v>1</v>
      </c>
      <c r="C7" t="s">
        <v>146</v>
      </c>
      <c r="D7" t="s">
        <v>152</v>
      </c>
      <c r="E7" t="s">
        <v>154</v>
      </c>
      <c r="F7" s="2">
        <v>7.9301423027166882</v>
      </c>
      <c r="G7" s="43">
        <v>7.4972833117723159</v>
      </c>
      <c r="H7" s="3">
        <v>5.3425614489003879</v>
      </c>
      <c r="I7" s="43">
        <v>6.4923152793217458</v>
      </c>
      <c r="J7" s="43">
        <v>5.2085970234890615</v>
      </c>
      <c r="K7" s="3">
        <v>3.6831593660160142</v>
      </c>
    </row>
    <row r="8" spans="1:11" x14ac:dyDescent="0.2">
      <c r="A8" s="2" t="s">
        <v>8</v>
      </c>
      <c r="B8">
        <v>1</v>
      </c>
      <c r="C8" t="s">
        <v>146</v>
      </c>
      <c r="D8" t="s">
        <v>152</v>
      </c>
      <c r="E8" t="s">
        <v>154</v>
      </c>
      <c r="F8" s="2">
        <v>2.7196895363297076</v>
      </c>
      <c r="G8" s="43">
        <v>3.1048264798915897</v>
      </c>
      <c r="H8" s="3">
        <v>2.6732982426330003</v>
      </c>
      <c r="I8" s="43">
        <v>4.7845025507152741</v>
      </c>
      <c r="J8" s="43">
        <v>4.3742346942363364</v>
      </c>
      <c r="K8" s="3">
        <v>2.3231505094181659</v>
      </c>
    </row>
    <row r="9" spans="1:11" x14ac:dyDescent="0.2">
      <c r="A9" s="2" t="s">
        <v>9</v>
      </c>
      <c r="B9">
        <v>1</v>
      </c>
      <c r="C9" t="s">
        <v>146</v>
      </c>
      <c r="D9" t="s">
        <v>152</v>
      </c>
      <c r="E9" t="s">
        <v>154</v>
      </c>
      <c r="F9" s="2">
        <v>6.7069923612765674</v>
      </c>
      <c r="G9" s="43">
        <v>7.3835378579976307</v>
      </c>
      <c r="H9" s="3">
        <v>4.3603843487335476</v>
      </c>
      <c r="I9" s="43">
        <v>3.6677185817709299</v>
      </c>
      <c r="J9" s="43">
        <v>2.8612090829775383</v>
      </c>
      <c r="K9" s="3">
        <v>3.4032547484685356</v>
      </c>
    </row>
    <row r="10" spans="1:11" x14ac:dyDescent="0.2">
      <c r="A10" s="23" t="s">
        <v>10</v>
      </c>
      <c r="B10" s="24">
        <v>2</v>
      </c>
      <c r="C10" s="24" t="s">
        <v>146</v>
      </c>
      <c r="D10" s="24" t="s">
        <v>152</v>
      </c>
      <c r="E10" s="24" t="s">
        <v>154</v>
      </c>
      <c r="F10" s="23">
        <v>9.5766100071821896</v>
      </c>
      <c r="G10" s="44">
        <v>7.7290519511611206</v>
      </c>
      <c r="H10" s="25">
        <v>8.1815298060809187</v>
      </c>
      <c r="I10" s="44">
        <v>9.1462519657522279</v>
      </c>
      <c r="J10" s="44">
        <v>8.6639874191857409</v>
      </c>
      <c r="K10" s="25">
        <v>8.5745238511270312</v>
      </c>
    </row>
    <row r="11" spans="1:11" x14ac:dyDescent="0.2">
      <c r="A11" s="23" t="s">
        <v>11</v>
      </c>
      <c r="B11" s="24">
        <v>2</v>
      </c>
      <c r="C11" s="24" t="s">
        <v>146</v>
      </c>
      <c r="D11" s="24" t="s">
        <v>152</v>
      </c>
      <c r="E11" s="24" t="s">
        <v>154</v>
      </c>
      <c r="F11" s="23">
        <v>9.2831592276036723</v>
      </c>
      <c r="G11" s="44">
        <v>6.899810066476733</v>
      </c>
      <c r="H11" s="25">
        <v>8.0549752031233517</v>
      </c>
      <c r="I11" s="44">
        <v>4.1805131629149184</v>
      </c>
      <c r="J11" s="44">
        <v>4.2372186188477681</v>
      </c>
      <c r="K11" s="25">
        <v>5.2121327737504775</v>
      </c>
    </row>
    <row r="12" spans="1:11" x14ac:dyDescent="0.2">
      <c r="A12" s="2" t="s">
        <v>12</v>
      </c>
      <c r="B12">
        <v>1</v>
      </c>
      <c r="C12" t="s">
        <v>147</v>
      </c>
      <c r="D12" t="s">
        <v>153</v>
      </c>
      <c r="E12" t="s">
        <v>154</v>
      </c>
      <c r="F12" s="2">
        <v>6.0922355393434078</v>
      </c>
      <c r="G12" s="43">
        <v>7.4299982621156859</v>
      </c>
      <c r="H12" s="3">
        <v>3.4183602579468473</v>
      </c>
      <c r="I12" s="43">
        <v>6.1815585475316199</v>
      </c>
      <c r="J12" s="43">
        <v>6.7342581272949813</v>
      </c>
      <c r="K12" s="3">
        <v>5.2350061199510405</v>
      </c>
    </row>
    <row r="13" spans="1:11" x14ac:dyDescent="0.2">
      <c r="A13" s="2" t="s">
        <v>13</v>
      </c>
      <c r="B13">
        <v>1</v>
      </c>
      <c r="C13" t="s">
        <v>147</v>
      </c>
      <c r="D13" t="s">
        <v>153</v>
      </c>
      <c r="E13" t="s">
        <v>154</v>
      </c>
      <c r="F13" s="2">
        <v>6.1188888882352943</v>
      </c>
      <c r="G13" s="43">
        <v>6.5173202607843139</v>
      </c>
      <c r="H13" s="3">
        <v>4.0295424843137253</v>
      </c>
      <c r="I13" s="43">
        <v>6.8065235596329137</v>
      </c>
      <c r="J13" s="43">
        <v>7.0436297765603042</v>
      </c>
      <c r="K13" s="3">
        <v>6.2878449953007864</v>
      </c>
    </row>
    <row r="14" spans="1:11" x14ac:dyDescent="0.2">
      <c r="A14" s="2" t="s">
        <v>14</v>
      </c>
      <c r="B14">
        <v>1</v>
      </c>
      <c r="C14" t="s">
        <v>147</v>
      </c>
      <c r="D14" t="s">
        <v>153</v>
      </c>
      <c r="E14" t="s">
        <v>154</v>
      </c>
      <c r="F14" s="2">
        <v>12.24371355026711</v>
      </c>
      <c r="G14" s="43">
        <v>11.226885937587426</v>
      </c>
      <c r="H14" s="3">
        <v>5.5142939110349261</v>
      </c>
      <c r="I14" s="43">
        <v>11.101814960159363</v>
      </c>
      <c r="J14" s="43">
        <v>9.9606020385126168</v>
      </c>
      <c r="K14" s="3">
        <v>7.1655599800796805</v>
      </c>
    </row>
    <row r="15" spans="1:11" x14ac:dyDescent="0.2">
      <c r="A15" s="23" t="s">
        <v>15</v>
      </c>
      <c r="B15" s="24">
        <v>2</v>
      </c>
      <c r="C15" s="24" t="s">
        <v>147</v>
      </c>
      <c r="D15" s="24" t="s">
        <v>153</v>
      </c>
      <c r="E15" s="24" t="s">
        <v>154</v>
      </c>
      <c r="F15" s="23">
        <v>11.158000000000001</v>
      </c>
      <c r="G15" s="44">
        <v>9.219846153846154</v>
      </c>
      <c r="H15" s="25">
        <v>10.305769230769233</v>
      </c>
      <c r="I15" s="44">
        <v>10.126428649178186</v>
      </c>
      <c r="J15" s="44">
        <v>9.7291281158158256</v>
      </c>
      <c r="K15" s="25">
        <v>8.2199303363448344</v>
      </c>
    </row>
    <row r="16" spans="1:11" ht="17" thickBot="1" x14ac:dyDescent="0.25">
      <c r="A16" s="26" t="s">
        <v>16</v>
      </c>
      <c r="B16" s="27">
        <v>2</v>
      </c>
      <c r="C16" s="27" t="s">
        <v>147</v>
      </c>
      <c r="D16" s="27" t="s">
        <v>153</v>
      </c>
      <c r="E16" s="27" t="s">
        <v>154</v>
      </c>
      <c r="F16" s="26">
        <v>11.259986259691823</v>
      </c>
      <c r="G16" s="27">
        <v>9.9152026695455895</v>
      </c>
      <c r="H16" s="28">
        <v>10.842182746098732</v>
      </c>
      <c r="I16" s="27">
        <v>9.2042329956584652</v>
      </c>
      <c r="J16" s="27">
        <v>10.579353593825374</v>
      </c>
      <c r="K16" s="28">
        <v>9.2051374819102758</v>
      </c>
    </row>
    <row r="17" spans="1:11" x14ac:dyDescent="0.2">
      <c r="A17" s="2" t="s">
        <v>17</v>
      </c>
      <c r="B17">
        <v>1</v>
      </c>
      <c r="C17" t="s">
        <v>148</v>
      </c>
      <c r="D17" t="s">
        <v>151</v>
      </c>
      <c r="E17" t="s">
        <v>155</v>
      </c>
      <c r="F17" s="2">
        <v>1.7147249743764947</v>
      </c>
      <c r="G17" s="43">
        <v>1.4828607218995558</v>
      </c>
      <c r="H17" s="3">
        <v>1.5702084045097369</v>
      </c>
      <c r="I17" s="29">
        <v>2.2656890570009462</v>
      </c>
      <c r="J17" s="29">
        <v>1.5059129612109745</v>
      </c>
      <c r="K17" s="37">
        <v>1.9455219174550613</v>
      </c>
    </row>
    <row r="18" spans="1:11" x14ac:dyDescent="0.2">
      <c r="A18" s="2" t="s">
        <v>18</v>
      </c>
      <c r="B18">
        <v>1</v>
      </c>
      <c r="C18" t="s">
        <v>148</v>
      </c>
      <c r="D18" t="s">
        <v>151</v>
      </c>
      <c r="E18" t="s">
        <v>155</v>
      </c>
      <c r="F18" s="2">
        <v>3.1430527892359379</v>
      </c>
      <c r="G18" s="43">
        <v>1.6769173310105725</v>
      </c>
      <c r="H18" s="3">
        <v>1.4682519922146728</v>
      </c>
      <c r="I18" s="43">
        <v>3.8834244088425236</v>
      </c>
      <c r="J18" s="43">
        <v>2.0796489485842025</v>
      </c>
      <c r="K18" s="3">
        <v>1.9531379366616988</v>
      </c>
    </row>
    <row r="19" spans="1:11" x14ac:dyDescent="0.2">
      <c r="A19" s="2" t="s">
        <v>19</v>
      </c>
      <c r="B19">
        <v>1</v>
      </c>
      <c r="C19" t="s">
        <v>148</v>
      </c>
      <c r="D19" t="s">
        <v>151</v>
      </c>
      <c r="E19" t="s">
        <v>155</v>
      </c>
      <c r="F19" s="2">
        <v>1.5447396963123645</v>
      </c>
      <c r="G19" s="43">
        <v>1.4265184381778742</v>
      </c>
      <c r="H19" s="3">
        <v>0.80793564723427336</v>
      </c>
      <c r="I19" s="43">
        <v>5.2268459493187844</v>
      </c>
      <c r="J19" s="43">
        <v>3.7818476858952303</v>
      </c>
      <c r="K19" s="3">
        <v>1.600788222719278</v>
      </c>
    </row>
    <row r="20" spans="1:11" x14ac:dyDescent="0.2">
      <c r="A20" s="23" t="s">
        <v>20</v>
      </c>
      <c r="B20" s="24">
        <v>2</v>
      </c>
      <c r="C20" s="24" t="s">
        <v>148</v>
      </c>
      <c r="D20" s="24" t="s">
        <v>151</v>
      </c>
      <c r="E20" s="24" t="s">
        <v>155</v>
      </c>
      <c r="F20" s="23">
        <v>6.2370715130023644</v>
      </c>
      <c r="G20" s="44">
        <v>5.9232417257683219</v>
      </c>
      <c r="H20" s="25">
        <v>4.3887411347517729</v>
      </c>
      <c r="I20" s="44">
        <v>8.1147692592250067</v>
      </c>
      <c r="J20" s="44">
        <v>6.1957366133357992</v>
      </c>
      <c r="K20" s="25">
        <v>6.1959678165171548</v>
      </c>
    </row>
    <row r="21" spans="1:11" x14ac:dyDescent="0.2">
      <c r="A21" s="23" t="s">
        <v>21</v>
      </c>
      <c r="B21" s="24">
        <v>2</v>
      </c>
      <c r="C21" s="24" t="s">
        <v>148</v>
      </c>
      <c r="D21" s="24" t="s">
        <v>151</v>
      </c>
      <c r="E21" s="24" t="s">
        <v>155</v>
      </c>
      <c r="F21" s="23">
        <v>7.0224035066358219</v>
      </c>
      <c r="G21" s="44">
        <v>7.5314744916595648</v>
      </c>
      <c r="H21" s="25">
        <v>6.8945574089857544</v>
      </c>
      <c r="I21" s="44">
        <v>1.8131653062198674</v>
      </c>
      <c r="J21" s="44">
        <v>1.4538641462599649</v>
      </c>
      <c r="K21" s="25">
        <v>2.262112750011934</v>
      </c>
    </row>
    <row r="22" spans="1:11" x14ac:dyDescent="0.2">
      <c r="A22" s="2" t="s">
        <v>22</v>
      </c>
      <c r="B22">
        <v>1</v>
      </c>
      <c r="C22" t="s">
        <v>149</v>
      </c>
      <c r="D22" t="s">
        <v>152</v>
      </c>
      <c r="E22" t="s">
        <v>155</v>
      </c>
      <c r="F22" s="2">
        <v>4.1118391330646364</v>
      </c>
      <c r="G22" s="43">
        <v>9.6344328954321696</v>
      </c>
      <c r="H22" s="3">
        <v>4.2304563946870246</v>
      </c>
      <c r="I22" s="43">
        <v>4.8242201182965303</v>
      </c>
      <c r="J22" s="43">
        <v>3.3274623212407994</v>
      </c>
      <c r="K22" s="3">
        <v>1.7188047668243953</v>
      </c>
    </row>
    <row r="23" spans="1:11" x14ac:dyDescent="0.2">
      <c r="A23" s="2" t="s">
        <v>23</v>
      </c>
      <c r="B23">
        <v>1</v>
      </c>
      <c r="C23" t="s">
        <v>149</v>
      </c>
      <c r="D23" t="s">
        <v>152</v>
      </c>
      <c r="E23" t="s">
        <v>155</v>
      </c>
      <c r="F23" s="2">
        <v>5.3272839122325983</v>
      </c>
      <c r="G23" s="43">
        <v>3.5589049528176786</v>
      </c>
      <c r="H23" s="3">
        <v>2.5416025836249148</v>
      </c>
      <c r="I23" s="43">
        <v>3.4330596784470271</v>
      </c>
      <c r="J23" s="43">
        <v>2.4613988007213923</v>
      </c>
      <c r="K23" s="3">
        <v>1.3957215029684462</v>
      </c>
    </row>
    <row r="24" spans="1:11" x14ac:dyDescent="0.2">
      <c r="A24" s="2" t="s">
        <v>24</v>
      </c>
      <c r="B24">
        <v>1</v>
      </c>
      <c r="C24" t="s">
        <v>149</v>
      </c>
      <c r="D24" t="s">
        <v>152</v>
      </c>
      <c r="E24" t="s">
        <v>155</v>
      </c>
      <c r="F24" s="2">
        <v>3.669082475334239</v>
      </c>
      <c r="G24" s="43">
        <v>3.1246557469017748</v>
      </c>
      <c r="H24" s="3">
        <v>2.4010726190170937</v>
      </c>
      <c r="I24" s="43">
        <v>4.5215303601301109</v>
      </c>
      <c r="J24" s="43">
        <v>3.2259138777881038</v>
      </c>
      <c r="K24" s="3">
        <v>2.64660780669145</v>
      </c>
    </row>
    <row r="25" spans="1:11" x14ac:dyDescent="0.2">
      <c r="A25" s="23" t="s">
        <v>25</v>
      </c>
      <c r="B25" s="24">
        <v>2</v>
      </c>
      <c r="C25" s="24" t="s">
        <v>149</v>
      </c>
      <c r="D25" s="24" t="s">
        <v>152</v>
      </c>
      <c r="E25" s="24" t="s">
        <v>155</v>
      </c>
      <c r="F25" s="23">
        <v>7.5955873135263889</v>
      </c>
      <c r="G25" s="44">
        <v>4.9168233671806449</v>
      </c>
      <c r="H25" s="25">
        <v>3.7060298357778616</v>
      </c>
      <c r="I25" s="44">
        <v>6.4072236232001947</v>
      </c>
      <c r="J25" s="44">
        <v>5.9114943463759859</v>
      </c>
      <c r="K25" s="25">
        <v>6.7176035141950701</v>
      </c>
    </row>
    <row r="26" spans="1:11" x14ac:dyDescent="0.2">
      <c r="A26" s="23" t="s">
        <v>26</v>
      </c>
      <c r="B26" s="24">
        <v>2</v>
      </c>
      <c r="C26" s="24" t="s">
        <v>149</v>
      </c>
      <c r="D26" s="24" t="s">
        <v>152</v>
      </c>
      <c r="E26" s="24" t="s">
        <v>155</v>
      </c>
      <c r="F26" s="23">
        <v>11.974456553076168</v>
      </c>
      <c r="G26" s="44">
        <v>9.9513348324972615</v>
      </c>
      <c r="H26" s="25">
        <v>8.094332007149859</v>
      </c>
      <c r="I26" s="44">
        <v>9.0589780474075923</v>
      </c>
      <c r="J26" s="44">
        <v>8.308274438676591</v>
      </c>
      <c r="K26" s="25">
        <v>6.9013071486647064</v>
      </c>
    </row>
    <row r="27" spans="1:11" x14ac:dyDescent="0.2">
      <c r="A27" s="2" t="s">
        <v>27</v>
      </c>
      <c r="B27">
        <v>1</v>
      </c>
      <c r="C27" t="s">
        <v>150</v>
      </c>
      <c r="D27" t="s">
        <v>153</v>
      </c>
      <c r="E27" t="s">
        <v>155</v>
      </c>
      <c r="F27" s="2">
        <v>3.7742913915908378</v>
      </c>
      <c r="G27" s="43">
        <v>6.6776487809852529</v>
      </c>
      <c r="H27" s="3">
        <v>6.347714673674302</v>
      </c>
      <c r="I27" s="43">
        <v>3.6054701783754113</v>
      </c>
      <c r="J27" s="43">
        <v>3.8110135373216245</v>
      </c>
      <c r="K27" s="3">
        <v>3.6088547392974752</v>
      </c>
    </row>
    <row r="28" spans="1:11" x14ac:dyDescent="0.2">
      <c r="A28" s="2" t="s">
        <v>28</v>
      </c>
      <c r="B28">
        <v>1</v>
      </c>
      <c r="C28" t="s">
        <v>150</v>
      </c>
      <c r="D28" t="s">
        <v>153</v>
      </c>
      <c r="E28" t="s">
        <v>155</v>
      </c>
      <c r="F28" s="2">
        <v>6.9535967578520772</v>
      </c>
      <c r="G28" s="43">
        <v>6.2564674103343458</v>
      </c>
      <c r="H28" s="3">
        <v>5.796149949341439</v>
      </c>
      <c r="I28" s="43">
        <v>4.5866052809752089</v>
      </c>
      <c r="J28" s="43">
        <v>4.9411918002902357</v>
      </c>
      <c r="K28" s="3">
        <v>3.5383947188619174</v>
      </c>
    </row>
    <row r="29" spans="1:11" x14ac:dyDescent="0.2">
      <c r="A29" s="2" t="s">
        <v>29</v>
      </c>
      <c r="B29">
        <v>1</v>
      </c>
      <c r="C29" t="s">
        <v>150</v>
      </c>
      <c r="D29" t="s">
        <v>153</v>
      </c>
      <c r="E29" t="s">
        <v>155</v>
      </c>
      <c r="F29" s="2">
        <v>9.8846188309594183</v>
      </c>
      <c r="G29" s="43">
        <v>8.8178804971781783</v>
      </c>
      <c r="H29" s="3">
        <v>7.7251634856221445</v>
      </c>
      <c r="I29" s="43">
        <v>6.6179320475140528</v>
      </c>
      <c r="J29" s="43">
        <v>6.0591193430566515</v>
      </c>
      <c r="K29" s="3">
        <v>4.9668833539841915</v>
      </c>
    </row>
    <row r="30" spans="1:11" x14ac:dyDescent="0.2">
      <c r="A30" s="23" t="s">
        <v>30</v>
      </c>
      <c r="B30" s="24">
        <v>2</v>
      </c>
      <c r="C30" s="24" t="s">
        <v>150</v>
      </c>
      <c r="D30" s="24" t="s">
        <v>153</v>
      </c>
      <c r="E30" s="24" t="s">
        <v>155</v>
      </c>
      <c r="F30" s="23">
        <v>11.19417712267024</v>
      </c>
      <c r="G30" s="44">
        <v>9.5012384780931498</v>
      </c>
      <c r="H30" s="25">
        <v>7.8883339424209202</v>
      </c>
      <c r="I30" s="44">
        <v>5.0148529989952388</v>
      </c>
      <c r="J30" s="44">
        <v>5.4546765104189419</v>
      </c>
      <c r="K30" s="25">
        <v>9.6683412694945616</v>
      </c>
    </row>
    <row r="31" spans="1:11" ht="17" thickBot="1" x14ac:dyDescent="0.25">
      <c r="A31" s="26" t="s">
        <v>31</v>
      </c>
      <c r="B31" s="27">
        <v>2</v>
      </c>
      <c r="C31" s="27" t="s">
        <v>150</v>
      </c>
      <c r="D31" s="27" t="s">
        <v>153</v>
      </c>
      <c r="E31" s="27" t="s">
        <v>155</v>
      </c>
      <c r="F31" s="26">
        <v>12.951521434233795</v>
      </c>
      <c r="G31" s="27">
        <v>9.8151716568083422</v>
      </c>
      <c r="H31" s="28">
        <v>8.4631989755472894</v>
      </c>
      <c r="I31" s="27">
        <v>6.5655522492560827</v>
      </c>
      <c r="J31" s="27">
        <v>6.8543672326273413</v>
      </c>
      <c r="K31" s="28">
        <v>5.8656572728863994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0961-CBFE-B343-A1A2-786E7B48B643}">
  <dimension ref="A1:U61"/>
  <sheetViews>
    <sheetView topLeftCell="B24" zoomScale="115" zoomScaleNormal="115" workbookViewId="0">
      <selection activeCell="J39" sqref="J39:U59"/>
    </sheetView>
  </sheetViews>
  <sheetFormatPr baseColWidth="10" defaultColWidth="11" defaultRowHeight="16" x14ac:dyDescent="0.2"/>
  <sheetData>
    <row r="1" spans="1:21" ht="47" x14ac:dyDescent="0.55000000000000004">
      <c r="A1" s="40" t="s">
        <v>110</v>
      </c>
      <c r="J1" s="42" t="s">
        <v>139</v>
      </c>
      <c r="K1" s="42"/>
      <c r="L1" s="42"/>
      <c r="M1" s="42"/>
      <c r="N1" s="42"/>
    </row>
    <row r="2" spans="1:21" ht="17" thickBot="1" x14ac:dyDescent="0.25">
      <c r="A2" s="1" t="s">
        <v>0</v>
      </c>
      <c r="B2" s="1"/>
      <c r="C2" s="24" t="s">
        <v>33</v>
      </c>
      <c r="D2" s="1"/>
      <c r="E2" s="1"/>
      <c r="F2" s="1"/>
      <c r="G2" s="1"/>
      <c r="H2" s="1"/>
    </row>
    <row r="3" spans="1:21" ht="17" thickBot="1" x14ac:dyDescent="0.25">
      <c r="A3" s="6" t="s">
        <v>1</v>
      </c>
      <c r="B3" s="7" t="s">
        <v>32</v>
      </c>
      <c r="C3" s="7" t="s">
        <v>34</v>
      </c>
      <c r="D3" s="7" t="s">
        <v>35</v>
      </c>
      <c r="E3" s="7" t="s">
        <v>36</v>
      </c>
      <c r="F3" s="7" t="s">
        <v>37</v>
      </c>
      <c r="G3" s="7" t="s">
        <v>38</v>
      </c>
      <c r="H3" s="8" t="s">
        <v>39</v>
      </c>
      <c r="J3" s="6" t="s">
        <v>1</v>
      </c>
      <c r="K3" s="7" t="s">
        <v>141</v>
      </c>
      <c r="L3" s="7" t="s">
        <v>142</v>
      </c>
      <c r="M3" s="7" t="s">
        <v>143</v>
      </c>
      <c r="N3" s="7" t="s">
        <v>144</v>
      </c>
      <c r="O3" s="7" t="s">
        <v>32</v>
      </c>
      <c r="P3" s="7" t="s">
        <v>34</v>
      </c>
      <c r="Q3" s="7" t="s">
        <v>35</v>
      </c>
      <c r="R3" s="7" t="s">
        <v>36</v>
      </c>
      <c r="S3" s="7" t="s">
        <v>37</v>
      </c>
      <c r="T3" s="7" t="s">
        <v>38</v>
      </c>
      <c r="U3" s="8" t="s">
        <v>39</v>
      </c>
    </row>
    <row r="4" spans="1:21" x14ac:dyDescent="0.2">
      <c r="A4" s="2" t="s">
        <v>2</v>
      </c>
      <c r="B4">
        <v>1678</v>
      </c>
      <c r="C4">
        <v>11050.666670000001</v>
      </c>
      <c r="D4">
        <v>11337</v>
      </c>
      <c r="E4">
        <v>4950.3333329999996</v>
      </c>
      <c r="F4">
        <f>C4/B4</f>
        <v>6.585617800953516</v>
      </c>
      <c r="G4">
        <f>D4/B4</f>
        <v>6.7562574493444574</v>
      </c>
      <c r="H4" s="3">
        <f>E4/B4</f>
        <v>2.9501390542312276</v>
      </c>
      <c r="J4" s="36" t="s">
        <v>2</v>
      </c>
      <c r="K4" s="29">
        <v>1</v>
      </c>
      <c r="L4" s="29" t="s">
        <v>145</v>
      </c>
      <c r="M4" s="29" t="s">
        <v>151</v>
      </c>
      <c r="N4" s="29" t="s">
        <v>154</v>
      </c>
      <c r="O4" s="29">
        <v>1678</v>
      </c>
      <c r="P4" s="29">
        <v>11050.666670000001</v>
      </c>
      <c r="Q4" s="29">
        <v>11337</v>
      </c>
      <c r="R4" s="29">
        <v>4950.3333329999996</v>
      </c>
      <c r="S4" s="29">
        <f>P4/O4</f>
        <v>6.585617800953516</v>
      </c>
      <c r="T4" s="29">
        <f>Q4/O4</f>
        <v>6.7562574493444574</v>
      </c>
      <c r="U4" s="37">
        <f>R4/O4</f>
        <v>2.9501390542312276</v>
      </c>
    </row>
    <row r="5" spans="1:21" x14ac:dyDescent="0.2">
      <c r="A5" s="2" t="s">
        <v>3</v>
      </c>
      <c r="B5">
        <v>4692</v>
      </c>
      <c r="C5">
        <v>20541.666669999999</v>
      </c>
      <c r="D5">
        <v>13761.666670000001</v>
      </c>
      <c r="E5">
        <v>10050.333329999999</v>
      </c>
      <c r="F5">
        <f>C5/B5</f>
        <v>4.3780193243819268</v>
      </c>
      <c r="G5">
        <f t="shared" ref="G5:G18" si="0">D5/B5</f>
        <v>2.9330065366581417</v>
      </c>
      <c r="H5" s="3">
        <f t="shared" ref="H5:H18" si="1">E5/B5</f>
        <v>2.1420147762148338</v>
      </c>
      <c r="J5" s="2" t="s">
        <v>3</v>
      </c>
      <c r="K5">
        <v>1</v>
      </c>
      <c r="L5" t="s">
        <v>145</v>
      </c>
      <c r="M5" t="s">
        <v>151</v>
      </c>
      <c r="N5" t="s">
        <v>154</v>
      </c>
      <c r="O5">
        <v>4692</v>
      </c>
      <c r="P5">
        <v>20541.666669999999</v>
      </c>
      <c r="Q5">
        <v>13761.666670000001</v>
      </c>
      <c r="R5">
        <v>10050.333329999999</v>
      </c>
      <c r="S5">
        <f>P5/O5</f>
        <v>4.3780193243819268</v>
      </c>
      <c r="T5">
        <f t="shared" ref="T5:T18" si="2">Q5/O5</f>
        <v>2.9330065366581417</v>
      </c>
      <c r="U5" s="3">
        <f t="shared" ref="U5:U18" si="3">R5/O5</f>
        <v>2.1420147762148338</v>
      </c>
    </row>
    <row r="6" spans="1:21" x14ac:dyDescent="0.2">
      <c r="A6" s="2" t="s">
        <v>4</v>
      </c>
      <c r="B6">
        <v>4072.666667</v>
      </c>
      <c r="C6">
        <v>25223.666669999999</v>
      </c>
      <c r="D6">
        <v>24116.333330000001</v>
      </c>
      <c r="E6">
        <v>10389.666670000001</v>
      </c>
      <c r="F6">
        <f t="shared" ref="F6:F18" si="4">C6/B6</f>
        <v>6.1934031759540513</v>
      </c>
      <c r="G6">
        <f t="shared" si="0"/>
        <v>5.9215092473464148</v>
      </c>
      <c r="H6" s="3">
        <f t="shared" si="1"/>
        <v>2.5510721891839032</v>
      </c>
      <c r="J6" s="2" t="s">
        <v>4</v>
      </c>
      <c r="K6">
        <v>1</v>
      </c>
      <c r="L6" t="s">
        <v>145</v>
      </c>
      <c r="M6" t="s">
        <v>151</v>
      </c>
      <c r="N6" t="s">
        <v>154</v>
      </c>
      <c r="O6">
        <v>4072.666667</v>
      </c>
      <c r="P6">
        <v>25223.666669999999</v>
      </c>
      <c r="Q6">
        <v>24116.333330000001</v>
      </c>
      <c r="R6">
        <v>10389.666670000001</v>
      </c>
      <c r="S6">
        <f t="shared" ref="S6:S18" si="5">P6/O6</f>
        <v>6.1934031759540513</v>
      </c>
      <c r="T6">
        <f t="shared" si="2"/>
        <v>5.9215092473464148</v>
      </c>
      <c r="U6" s="3">
        <f t="shared" si="3"/>
        <v>2.5510721891839032</v>
      </c>
    </row>
    <row r="7" spans="1:21" x14ac:dyDescent="0.2">
      <c r="A7" s="23" t="s">
        <v>5</v>
      </c>
      <c r="B7" s="24">
        <v>4975.333333333333</v>
      </c>
      <c r="C7" s="24">
        <v>40436</v>
      </c>
      <c r="D7" s="24">
        <v>27111.666666666668</v>
      </c>
      <c r="E7" s="24">
        <v>35688</v>
      </c>
      <c r="F7" s="24">
        <f t="shared" si="4"/>
        <v>8.1272946536245474</v>
      </c>
      <c r="G7" s="24">
        <f t="shared" si="0"/>
        <v>5.4492161329224178</v>
      </c>
      <c r="H7" s="25">
        <f t="shared" si="1"/>
        <v>7.1729867345571492</v>
      </c>
      <c r="J7" s="23" t="s">
        <v>5</v>
      </c>
      <c r="K7" s="24">
        <v>2</v>
      </c>
      <c r="L7" s="24" t="s">
        <v>145</v>
      </c>
      <c r="M7" s="24" t="s">
        <v>151</v>
      </c>
      <c r="N7" s="24" t="s">
        <v>154</v>
      </c>
      <c r="O7" s="24">
        <v>4975.333333333333</v>
      </c>
      <c r="P7" s="24">
        <v>40436</v>
      </c>
      <c r="Q7" s="24">
        <v>27111.666666666668</v>
      </c>
      <c r="R7" s="24">
        <v>35688</v>
      </c>
      <c r="S7" s="24">
        <f t="shared" si="5"/>
        <v>8.1272946536245474</v>
      </c>
      <c r="T7" s="24">
        <f t="shared" si="2"/>
        <v>5.4492161329224178</v>
      </c>
      <c r="U7" s="25">
        <f t="shared" si="3"/>
        <v>7.1729867345571492</v>
      </c>
    </row>
    <row r="8" spans="1:21" x14ac:dyDescent="0.2">
      <c r="A8" s="23" t="s">
        <v>6</v>
      </c>
      <c r="B8" s="24">
        <v>4981.333333333333</v>
      </c>
      <c r="C8" s="24">
        <v>30491.666666666668</v>
      </c>
      <c r="D8" s="24">
        <v>29102.333333333332</v>
      </c>
      <c r="E8" s="24">
        <v>27167.333333333332</v>
      </c>
      <c r="F8" s="24">
        <f t="shared" si="4"/>
        <v>6.1211857601713069</v>
      </c>
      <c r="G8" s="24">
        <f t="shared" si="0"/>
        <v>5.8422778372591004</v>
      </c>
      <c r="H8" s="25">
        <f t="shared" si="1"/>
        <v>5.4538276231263385</v>
      </c>
      <c r="J8" s="23" t="s">
        <v>6</v>
      </c>
      <c r="K8" s="24">
        <v>2</v>
      </c>
      <c r="L8" s="24" t="s">
        <v>145</v>
      </c>
      <c r="M8" s="24" t="s">
        <v>151</v>
      </c>
      <c r="N8" s="24" t="s">
        <v>154</v>
      </c>
      <c r="O8" s="24">
        <v>4981.333333333333</v>
      </c>
      <c r="P8" s="24">
        <v>30491.666666666668</v>
      </c>
      <c r="Q8" s="24">
        <v>29102.333333333332</v>
      </c>
      <c r="R8" s="24">
        <v>27167.333333333332</v>
      </c>
      <c r="S8" s="24">
        <f t="shared" si="5"/>
        <v>6.1211857601713069</v>
      </c>
      <c r="T8" s="24">
        <f t="shared" si="2"/>
        <v>5.8422778372591004</v>
      </c>
      <c r="U8" s="25">
        <f t="shared" si="3"/>
        <v>5.4538276231263385</v>
      </c>
    </row>
    <row r="9" spans="1:21" x14ac:dyDescent="0.2">
      <c r="A9" s="2" t="s">
        <v>7</v>
      </c>
      <c r="B9">
        <v>3865</v>
      </c>
      <c r="C9">
        <v>30650</v>
      </c>
      <c r="D9">
        <v>28977</v>
      </c>
      <c r="E9">
        <v>20649</v>
      </c>
      <c r="F9">
        <f t="shared" si="4"/>
        <v>7.9301423027166882</v>
      </c>
      <c r="G9">
        <f t="shared" si="0"/>
        <v>7.4972833117723159</v>
      </c>
      <c r="H9" s="3">
        <f t="shared" si="1"/>
        <v>5.3425614489003879</v>
      </c>
      <c r="J9" s="2" t="s">
        <v>7</v>
      </c>
      <c r="K9">
        <v>1</v>
      </c>
      <c r="L9" t="s">
        <v>146</v>
      </c>
      <c r="M9" t="s">
        <v>152</v>
      </c>
      <c r="N9" t="s">
        <v>154</v>
      </c>
      <c r="O9">
        <v>3865</v>
      </c>
      <c r="P9">
        <v>30650</v>
      </c>
      <c r="Q9">
        <v>28977</v>
      </c>
      <c r="R9">
        <v>20649</v>
      </c>
      <c r="S9">
        <f t="shared" si="5"/>
        <v>7.9301423027166882</v>
      </c>
      <c r="T9">
        <f t="shared" si="2"/>
        <v>7.4972833117723159</v>
      </c>
      <c r="U9" s="3">
        <f t="shared" si="3"/>
        <v>5.3425614489003879</v>
      </c>
    </row>
    <row r="10" spans="1:21" x14ac:dyDescent="0.2">
      <c r="A10" s="2" t="s">
        <v>8</v>
      </c>
      <c r="B10">
        <v>3736.333333</v>
      </c>
      <c r="C10">
        <v>10161.666670000001</v>
      </c>
      <c r="D10">
        <v>11600.666670000001</v>
      </c>
      <c r="E10">
        <v>9988.3333330000005</v>
      </c>
      <c r="F10">
        <f t="shared" si="4"/>
        <v>2.7196895363297076</v>
      </c>
      <c r="G10">
        <f t="shared" si="0"/>
        <v>3.1048264798915897</v>
      </c>
      <c r="H10" s="3">
        <f t="shared" si="1"/>
        <v>2.6732982426330003</v>
      </c>
      <c r="J10" s="2" t="s">
        <v>8</v>
      </c>
      <c r="K10">
        <v>1</v>
      </c>
      <c r="L10" t="s">
        <v>146</v>
      </c>
      <c r="M10" t="s">
        <v>152</v>
      </c>
      <c r="N10" t="s">
        <v>154</v>
      </c>
      <c r="O10">
        <v>3736.333333</v>
      </c>
      <c r="P10">
        <v>10161.666670000001</v>
      </c>
      <c r="Q10">
        <v>11600.666670000001</v>
      </c>
      <c r="R10">
        <v>9988.3333330000005</v>
      </c>
      <c r="S10">
        <f t="shared" si="5"/>
        <v>2.7196895363297076</v>
      </c>
      <c r="T10">
        <f t="shared" si="2"/>
        <v>3.1048264798915897</v>
      </c>
      <c r="U10" s="3">
        <f t="shared" si="3"/>
        <v>2.6732982426330003</v>
      </c>
    </row>
    <row r="11" spans="1:21" x14ac:dyDescent="0.2">
      <c r="A11" s="2" t="s">
        <v>9</v>
      </c>
      <c r="B11">
        <v>2879.333333</v>
      </c>
      <c r="C11">
        <v>19311.666669999999</v>
      </c>
      <c r="D11">
        <v>21259.666669999999</v>
      </c>
      <c r="E11">
        <v>12555</v>
      </c>
      <c r="F11">
        <f t="shared" si="4"/>
        <v>6.7069923612765674</v>
      </c>
      <c r="G11">
        <f t="shared" si="0"/>
        <v>7.3835378579976307</v>
      </c>
      <c r="H11" s="3">
        <f t="shared" si="1"/>
        <v>4.3603843487335476</v>
      </c>
      <c r="J11" s="2" t="s">
        <v>9</v>
      </c>
      <c r="K11">
        <v>1</v>
      </c>
      <c r="L11" t="s">
        <v>146</v>
      </c>
      <c r="M11" t="s">
        <v>152</v>
      </c>
      <c r="N11" t="s">
        <v>154</v>
      </c>
      <c r="O11">
        <v>2879.333333</v>
      </c>
      <c r="P11">
        <v>19311.666669999999</v>
      </c>
      <c r="Q11">
        <v>21259.666669999999</v>
      </c>
      <c r="R11">
        <v>12555</v>
      </c>
      <c r="S11">
        <f t="shared" si="5"/>
        <v>6.7069923612765674</v>
      </c>
      <c r="T11">
        <f t="shared" si="2"/>
        <v>7.3835378579976307</v>
      </c>
      <c r="U11" s="3">
        <f t="shared" si="3"/>
        <v>4.3603843487335476</v>
      </c>
    </row>
    <row r="12" spans="1:21" x14ac:dyDescent="0.2">
      <c r="A12" s="23" t="s">
        <v>10</v>
      </c>
      <c r="B12" s="24">
        <v>5569.333333333333</v>
      </c>
      <c r="C12" s="24">
        <v>53335.333333333336</v>
      </c>
      <c r="D12" s="24">
        <v>43045.666666666664</v>
      </c>
      <c r="E12" s="24">
        <v>45565.666666666664</v>
      </c>
      <c r="F12" s="24">
        <f t="shared" si="4"/>
        <v>9.5766100071821896</v>
      </c>
      <c r="G12" s="24">
        <f t="shared" si="0"/>
        <v>7.7290519511611206</v>
      </c>
      <c r="H12" s="25">
        <f t="shared" si="1"/>
        <v>8.1815298060809187</v>
      </c>
      <c r="J12" s="23" t="s">
        <v>10</v>
      </c>
      <c r="K12" s="24">
        <v>2</v>
      </c>
      <c r="L12" s="24" t="s">
        <v>146</v>
      </c>
      <c r="M12" s="24" t="s">
        <v>152</v>
      </c>
      <c r="N12" s="24" t="s">
        <v>154</v>
      </c>
      <c r="O12" s="24">
        <v>5569.333333333333</v>
      </c>
      <c r="P12" s="24">
        <v>53335.333333333336</v>
      </c>
      <c r="Q12" s="24">
        <v>43045.666666666664</v>
      </c>
      <c r="R12" s="24">
        <v>45565.666666666664</v>
      </c>
      <c r="S12" s="24">
        <f t="shared" si="5"/>
        <v>9.5766100071821896</v>
      </c>
      <c r="T12" s="24">
        <f t="shared" si="2"/>
        <v>7.7290519511611206</v>
      </c>
      <c r="U12" s="25">
        <f t="shared" si="3"/>
        <v>8.1815298060809187</v>
      </c>
    </row>
    <row r="13" spans="1:21" x14ac:dyDescent="0.2">
      <c r="A13" s="23" t="s">
        <v>11</v>
      </c>
      <c r="B13" s="24">
        <v>6318</v>
      </c>
      <c r="C13" s="24">
        <v>58651</v>
      </c>
      <c r="D13" s="24">
        <v>43593</v>
      </c>
      <c r="E13" s="24">
        <v>50891.333333333336</v>
      </c>
      <c r="F13" s="24">
        <f t="shared" si="4"/>
        <v>9.2831592276036723</v>
      </c>
      <c r="G13" s="24">
        <f t="shared" si="0"/>
        <v>6.899810066476733</v>
      </c>
      <c r="H13" s="25">
        <f t="shared" si="1"/>
        <v>8.0549752031233517</v>
      </c>
      <c r="J13" s="23" t="s">
        <v>11</v>
      </c>
      <c r="K13" s="24">
        <v>2</v>
      </c>
      <c r="L13" s="24" t="s">
        <v>146</v>
      </c>
      <c r="M13" s="24" t="s">
        <v>152</v>
      </c>
      <c r="N13" s="24" t="s">
        <v>154</v>
      </c>
      <c r="O13" s="24">
        <v>6318</v>
      </c>
      <c r="P13" s="24">
        <v>58651</v>
      </c>
      <c r="Q13" s="24">
        <v>43593</v>
      </c>
      <c r="R13" s="24">
        <v>50891.333333333336</v>
      </c>
      <c r="S13" s="24">
        <f t="shared" si="5"/>
        <v>9.2831592276036723</v>
      </c>
      <c r="T13" s="24">
        <f t="shared" si="2"/>
        <v>6.899810066476733</v>
      </c>
      <c r="U13" s="25">
        <f t="shared" si="3"/>
        <v>8.0549752031233517</v>
      </c>
    </row>
    <row r="14" spans="1:21" x14ac:dyDescent="0.2">
      <c r="A14" s="2" t="s">
        <v>12</v>
      </c>
      <c r="B14">
        <v>3838</v>
      </c>
      <c r="C14">
        <v>23382</v>
      </c>
      <c r="D14">
        <v>28516.333330000001</v>
      </c>
      <c r="E14">
        <v>13119.666670000001</v>
      </c>
      <c r="F14">
        <f t="shared" si="4"/>
        <v>6.0922355393434078</v>
      </c>
      <c r="G14">
        <f t="shared" si="0"/>
        <v>7.4299982621156859</v>
      </c>
      <c r="H14" s="3">
        <f t="shared" si="1"/>
        <v>3.4183602579468473</v>
      </c>
      <c r="J14" s="2" t="s">
        <v>12</v>
      </c>
      <c r="K14">
        <v>1</v>
      </c>
      <c r="L14" t="s">
        <v>147</v>
      </c>
      <c r="M14" t="s">
        <v>153</v>
      </c>
      <c r="N14" t="s">
        <v>154</v>
      </c>
      <c r="O14">
        <v>3838</v>
      </c>
      <c r="P14">
        <v>23382</v>
      </c>
      <c r="Q14">
        <v>28516.333330000001</v>
      </c>
      <c r="R14">
        <v>13119.666670000001</v>
      </c>
      <c r="S14">
        <f t="shared" si="5"/>
        <v>6.0922355393434078</v>
      </c>
      <c r="T14">
        <f t="shared" si="2"/>
        <v>7.4299982621156859</v>
      </c>
      <c r="U14" s="3">
        <f t="shared" si="3"/>
        <v>3.4183602579468473</v>
      </c>
    </row>
    <row r="15" spans="1:21" x14ac:dyDescent="0.2">
      <c r="A15" s="2" t="s">
        <v>13</v>
      </c>
      <c r="B15">
        <v>5100</v>
      </c>
      <c r="C15">
        <v>31206.333330000001</v>
      </c>
      <c r="D15">
        <v>33238.333330000001</v>
      </c>
      <c r="E15">
        <v>20550.666669999999</v>
      </c>
      <c r="F15">
        <f t="shared" si="4"/>
        <v>6.1188888882352943</v>
      </c>
      <c r="G15">
        <f t="shared" si="0"/>
        <v>6.5173202607843139</v>
      </c>
      <c r="H15" s="3">
        <f t="shared" si="1"/>
        <v>4.0295424843137253</v>
      </c>
      <c r="J15" s="2" t="s">
        <v>13</v>
      </c>
      <c r="K15">
        <v>1</v>
      </c>
      <c r="L15" t="s">
        <v>147</v>
      </c>
      <c r="M15" t="s">
        <v>153</v>
      </c>
      <c r="N15" t="s">
        <v>154</v>
      </c>
      <c r="O15">
        <v>5100</v>
      </c>
      <c r="P15">
        <v>31206.333330000001</v>
      </c>
      <c r="Q15">
        <v>33238.333330000001</v>
      </c>
      <c r="R15">
        <v>20550.666669999999</v>
      </c>
      <c r="S15">
        <f t="shared" si="5"/>
        <v>6.1188888882352943</v>
      </c>
      <c r="T15">
        <f t="shared" si="2"/>
        <v>6.5173202607843139</v>
      </c>
      <c r="U15" s="3">
        <f t="shared" si="3"/>
        <v>4.0295424843137253</v>
      </c>
    </row>
    <row r="16" spans="1:21" x14ac:dyDescent="0.2">
      <c r="A16" s="2" t="s">
        <v>14</v>
      </c>
      <c r="B16">
        <v>3486.333333</v>
      </c>
      <c r="C16">
        <v>42685.666669999999</v>
      </c>
      <c r="D16">
        <v>39140.666669999999</v>
      </c>
      <c r="E16">
        <v>19224.666669999999</v>
      </c>
      <c r="F16">
        <f t="shared" si="4"/>
        <v>12.24371355026711</v>
      </c>
      <c r="G16">
        <f t="shared" si="0"/>
        <v>11.226885937587426</v>
      </c>
      <c r="H16" s="3">
        <f t="shared" si="1"/>
        <v>5.5142939110349261</v>
      </c>
      <c r="J16" s="2" t="s">
        <v>14</v>
      </c>
      <c r="K16">
        <v>1</v>
      </c>
      <c r="L16" t="s">
        <v>147</v>
      </c>
      <c r="M16" t="s">
        <v>153</v>
      </c>
      <c r="N16" t="s">
        <v>154</v>
      </c>
      <c r="O16">
        <v>3486.333333</v>
      </c>
      <c r="P16">
        <v>42685.666669999999</v>
      </c>
      <c r="Q16">
        <v>39140.666669999999</v>
      </c>
      <c r="R16">
        <v>19224.666669999999</v>
      </c>
      <c r="S16">
        <f t="shared" si="5"/>
        <v>12.24371355026711</v>
      </c>
      <c r="T16">
        <f t="shared" si="2"/>
        <v>11.226885937587426</v>
      </c>
      <c r="U16" s="3">
        <f t="shared" si="3"/>
        <v>5.5142939110349261</v>
      </c>
    </row>
    <row r="17" spans="1:21" x14ac:dyDescent="0.2">
      <c r="A17" s="23" t="s">
        <v>15</v>
      </c>
      <c r="B17" s="24">
        <v>4333.333333333333</v>
      </c>
      <c r="C17" s="24">
        <v>48351.333333333336</v>
      </c>
      <c r="D17" s="24">
        <v>39952.666666666664</v>
      </c>
      <c r="E17" s="24">
        <v>44658.333333333336</v>
      </c>
      <c r="F17" s="24">
        <f t="shared" si="4"/>
        <v>11.158000000000001</v>
      </c>
      <c r="G17" s="24">
        <f t="shared" si="0"/>
        <v>9.219846153846154</v>
      </c>
      <c r="H17" s="25">
        <f t="shared" si="1"/>
        <v>10.305769230769233</v>
      </c>
      <c r="J17" s="23" t="s">
        <v>15</v>
      </c>
      <c r="K17" s="24">
        <v>2</v>
      </c>
      <c r="L17" s="24" t="s">
        <v>147</v>
      </c>
      <c r="M17" s="24" t="s">
        <v>153</v>
      </c>
      <c r="N17" s="24" t="s">
        <v>154</v>
      </c>
      <c r="O17" s="24">
        <v>4333.333333333333</v>
      </c>
      <c r="P17" s="24">
        <v>48351.333333333336</v>
      </c>
      <c r="Q17" s="24">
        <v>39952.666666666664</v>
      </c>
      <c r="R17" s="24">
        <v>44658.333333333336</v>
      </c>
      <c r="S17" s="24">
        <f t="shared" si="5"/>
        <v>11.158000000000001</v>
      </c>
      <c r="T17" s="24">
        <f t="shared" si="2"/>
        <v>9.219846153846154</v>
      </c>
      <c r="U17" s="25">
        <f t="shared" si="3"/>
        <v>10.305769230769233</v>
      </c>
    </row>
    <row r="18" spans="1:21" ht="17" thickBot="1" x14ac:dyDescent="0.25">
      <c r="A18" s="23" t="s">
        <v>16</v>
      </c>
      <c r="B18" s="24">
        <v>3396.3333333333335</v>
      </c>
      <c r="C18" s="24">
        <v>38242.666666666664</v>
      </c>
      <c r="D18" s="24">
        <v>33675.333333333336</v>
      </c>
      <c r="E18" s="24">
        <v>36823.666666666664</v>
      </c>
      <c r="F18" s="24">
        <f t="shared" si="4"/>
        <v>11.259986259691823</v>
      </c>
      <c r="G18" s="24">
        <f t="shared" si="0"/>
        <v>9.9152026695455895</v>
      </c>
      <c r="H18" s="25">
        <f t="shared" si="1"/>
        <v>10.842182746098732</v>
      </c>
      <c r="J18" s="26" t="s">
        <v>16</v>
      </c>
      <c r="K18" s="27">
        <v>2</v>
      </c>
      <c r="L18" s="27" t="s">
        <v>147</v>
      </c>
      <c r="M18" s="27" t="s">
        <v>153</v>
      </c>
      <c r="N18" s="27" t="s">
        <v>154</v>
      </c>
      <c r="O18" s="27">
        <v>3396.3333333333335</v>
      </c>
      <c r="P18" s="27">
        <v>38242.666666666664</v>
      </c>
      <c r="Q18" s="27">
        <v>33675.333333333336</v>
      </c>
      <c r="R18" s="27">
        <v>36823.666666666664</v>
      </c>
      <c r="S18" s="27">
        <f t="shared" si="5"/>
        <v>11.259986259691823</v>
      </c>
      <c r="T18" s="27">
        <f t="shared" si="2"/>
        <v>9.9152026695455895</v>
      </c>
      <c r="U18" s="28">
        <f t="shared" si="3"/>
        <v>10.842182746098732</v>
      </c>
    </row>
    <row r="19" spans="1:21" ht="17" thickBot="1" x14ac:dyDescent="0.25">
      <c r="A19" s="2"/>
      <c r="H19" s="3"/>
      <c r="J19" s="2" t="s">
        <v>17</v>
      </c>
      <c r="K19">
        <v>1</v>
      </c>
      <c r="L19" t="s">
        <v>148</v>
      </c>
      <c r="M19" t="s">
        <v>151</v>
      </c>
      <c r="N19" t="s">
        <v>155</v>
      </c>
      <c r="O19">
        <v>2927</v>
      </c>
      <c r="P19">
        <v>5019</v>
      </c>
      <c r="Q19">
        <v>4340.3333329999996</v>
      </c>
      <c r="R19">
        <v>4596</v>
      </c>
      <c r="S19">
        <f>P19/O19</f>
        <v>1.7147249743764947</v>
      </c>
      <c r="T19">
        <f>Q19/O19</f>
        <v>1.4828607218995558</v>
      </c>
      <c r="U19" s="3">
        <f>R19/O19</f>
        <v>1.5702084045097369</v>
      </c>
    </row>
    <row r="20" spans="1:21" ht="17" thickBot="1" x14ac:dyDescent="0.25">
      <c r="A20" s="6" t="s">
        <v>1</v>
      </c>
      <c r="B20" s="7" t="s">
        <v>32</v>
      </c>
      <c r="C20" s="7" t="s">
        <v>34</v>
      </c>
      <c r="D20" s="7" t="s">
        <v>35</v>
      </c>
      <c r="E20" s="7" t="s">
        <v>36</v>
      </c>
      <c r="F20" s="7" t="s">
        <v>37</v>
      </c>
      <c r="G20" s="7" t="s">
        <v>38</v>
      </c>
      <c r="H20" s="8" t="s">
        <v>39</v>
      </c>
      <c r="J20" s="2" t="s">
        <v>18</v>
      </c>
      <c r="K20">
        <v>1</v>
      </c>
      <c r="L20" t="s">
        <v>148</v>
      </c>
      <c r="M20" t="s">
        <v>151</v>
      </c>
      <c r="N20" t="s">
        <v>155</v>
      </c>
      <c r="O20">
        <v>2677.333333</v>
      </c>
      <c r="P20">
        <v>8415</v>
      </c>
      <c r="Q20">
        <v>4489.6666670000004</v>
      </c>
      <c r="R20">
        <v>3931</v>
      </c>
      <c r="S20">
        <f>P20/O20</f>
        <v>3.1430527892359379</v>
      </c>
      <c r="T20">
        <f t="shared" ref="T20:T33" si="6">Q20/O20</f>
        <v>1.6769173310105725</v>
      </c>
      <c r="U20" s="3">
        <f t="shared" ref="U20:U33" si="7">R20/O20</f>
        <v>1.4682519922146728</v>
      </c>
    </row>
    <row r="21" spans="1:21" x14ac:dyDescent="0.2">
      <c r="A21" s="2" t="s">
        <v>17</v>
      </c>
      <c r="B21">
        <v>2927</v>
      </c>
      <c r="C21">
        <v>5019</v>
      </c>
      <c r="D21">
        <v>4340.3333329999996</v>
      </c>
      <c r="E21">
        <v>4596</v>
      </c>
      <c r="F21">
        <f>C21/B21</f>
        <v>1.7147249743764947</v>
      </c>
      <c r="G21">
        <f>D21/B21</f>
        <v>1.4828607218995558</v>
      </c>
      <c r="H21" s="3">
        <f>E21/B21</f>
        <v>1.5702084045097369</v>
      </c>
      <c r="J21" s="2" t="s">
        <v>19</v>
      </c>
      <c r="K21">
        <v>1</v>
      </c>
      <c r="L21" t="s">
        <v>148</v>
      </c>
      <c r="M21" t="s">
        <v>151</v>
      </c>
      <c r="N21" t="s">
        <v>155</v>
      </c>
      <c r="O21">
        <v>3688</v>
      </c>
      <c r="P21">
        <v>5697</v>
      </c>
      <c r="Q21">
        <v>5261</v>
      </c>
      <c r="R21">
        <v>2979.666667</v>
      </c>
      <c r="S21">
        <f t="shared" ref="S21:S33" si="8">P21/O21</f>
        <v>1.5447396963123645</v>
      </c>
      <c r="T21">
        <f t="shared" si="6"/>
        <v>1.4265184381778742</v>
      </c>
      <c r="U21" s="3">
        <f t="shared" si="7"/>
        <v>0.80793564723427336</v>
      </c>
    </row>
    <row r="22" spans="1:21" x14ac:dyDescent="0.2">
      <c r="A22" s="2" t="s">
        <v>18</v>
      </c>
      <c r="B22">
        <v>2677.333333</v>
      </c>
      <c r="C22">
        <v>8415</v>
      </c>
      <c r="D22">
        <v>4489.6666670000004</v>
      </c>
      <c r="E22">
        <v>3931</v>
      </c>
      <c r="F22">
        <f>C22/B22</f>
        <v>3.1430527892359379</v>
      </c>
      <c r="G22">
        <f t="shared" ref="G22:G35" si="9">D22/B22</f>
        <v>1.6769173310105725</v>
      </c>
      <c r="H22" s="3">
        <f t="shared" ref="H22:H35" si="10">E22/B22</f>
        <v>1.4682519922146728</v>
      </c>
      <c r="J22" s="23" t="s">
        <v>20</v>
      </c>
      <c r="K22" s="24">
        <v>2</v>
      </c>
      <c r="L22" s="24" t="s">
        <v>148</v>
      </c>
      <c r="M22" s="24" t="s">
        <v>151</v>
      </c>
      <c r="N22" s="24" t="s">
        <v>155</v>
      </c>
      <c r="O22" s="24">
        <v>4512</v>
      </c>
      <c r="P22" s="24">
        <v>28141.666666666668</v>
      </c>
      <c r="Q22" s="24">
        <v>26725.666666666668</v>
      </c>
      <c r="R22" s="24">
        <v>19802</v>
      </c>
      <c r="S22" s="24">
        <f t="shared" si="8"/>
        <v>6.2370715130023644</v>
      </c>
      <c r="T22" s="24">
        <f t="shared" si="6"/>
        <v>5.9232417257683219</v>
      </c>
      <c r="U22" s="25">
        <f t="shared" si="7"/>
        <v>4.3887411347517729</v>
      </c>
    </row>
    <row r="23" spans="1:21" x14ac:dyDescent="0.2">
      <c r="A23" s="2" t="s">
        <v>19</v>
      </c>
      <c r="B23">
        <v>3688</v>
      </c>
      <c r="C23">
        <v>5697</v>
      </c>
      <c r="D23">
        <v>5261</v>
      </c>
      <c r="E23">
        <v>2979.666667</v>
      </c>
      <c r="F23">
        <f t="shared" ref="F23:F35" si="11">C23/B23</f>
        <v>1.5447396963123645</v>
      </c>
      <c r="G23">
        <f t="shared" si="9"/>
        <v>1.4265184381778742</v>
      </c>
      <c r="H23" s="3">
        <f t="shared" si="10"/>
        <v>0.80793564723427336</v>
      </c>
      <c r="J23" s="23" t="s">
        <v>21</v>
      </c>
      <c r="K23" s="24">
        <v>2</v>
      </c>
      <c r="L23" s="24" t="s">
        <v>148</v>
      </c>
      <c r="M23" s="24" t="s">
        <v>151</v>
      </c>
      <c r="N23" s="24" t="s">
        <v>155</v>
      </c>
      <c r="O23" s="24">
        <v>5475.333333333333</v>
      </c>
      <c r="P23" s="24">
        <v>38450</v>
      </c>
      <c r="Q23" s="24">
        <v>41237.333333333336</v>
      </c>
      <c r="R23" s="24">
        <v>37750</v>
      </c>
      <c r="S23" s="24">
        <f t="shared" si="8"/>
        <v>7.0224035066358219</v>
      </c>
      <c r="T23" s="24">
        <f t="shared" si="6"/>
        <v>7.5314744916595648</v>
      </c>
      <c r="U23" s="25">
        <f t="shared" si="7"/>
        <v>6.8945574089857544</v>
      </c>
    </row>
    <row r="24" spans="1:21" x14ac:dyDescent="0.2">
      <c r="A24" s="23" t="s">
        <v>20</v>
      </c>
      <c r="B24" s="24">
        <v>4512</v>
      </c>
      <c r="C24" s="24">
        <v>28141.666666666668</v>
      </c>
      <c r="D24" s="24">
        <v>26725.666666666668</v>
      </c>
      <c r="E24" s="24">
        <v>19802</v>
      </c>
      <c r="F24" s="24">
        <f t="shared" si="11"/>
        <v>6.2370715130023644</v>
      </c>
      <c r="G24" s="24">
        <f t="shared" si="9"/>
        <v>5.9232417257683219</v>
      </c>
      <c r="H24" s="25">
        <f t="shared" si="10"/>
        <v>4.3887411347517729</v>
      </c>
      <c r="J24" s="2" t="s">
        <v>22</v>
      </c>
      <c r="K24">
        <v>1</v>
      </c>
      <c r="L24" t="s">
        <v>149</v>
      </c>
      <c r="M24" t="s">
        <v>152</v>
      </c>
      <c r="N24" t="s">
        <v>155</v>
      </c>
      <c r="O24">
        <v>2950.666667</v>
      </c>
      <c r="P24">
        <v>12132.666670000001</v>
      </c>
      <c r="Q24">
        <v>28428</v>
      </c>
      <c r="R24">
        <v>12482.666670000001</v>
      </c>
      <c r="S24">
        <f t="shared" si="8"/>
        <v>4.1118391330646364</v>
      </c>
      <c r="T24">
        <f t="shared" si="6"/>
        <v>9.6344328954321696</v>
      </c>
      <c r="U24" s="3">
        <f t="shared" si="7"/>
        <v>4.2304563946870246</v>
      </c>
    </row>
    <row r="25" spans="1:21" x14ac:dyDescent="0.2">
      <c r="A25" s="23" t="s">
        <v>21</v>
      </c>
      <c r="B25" s="24">
        <v>5475.333333333333</v>
      </c>
      <c r="C25" s="24">
        <v>38450</v>
      </c>
      <c r="D25" s="24">
        <v>41237.333333333336</v>
      </c>
      <c r="E25" s="24">
        <v>37750</v>
      </c>
      <c r="F25" s="24">
        <f t="shared" si="11"/>
        <v>7.0224035066358219</v>
      </c>
      <c r="G25" s="24">
        <f t="shared" si="9"/>
        <v>7.5314744916595648</v>
      </c>
      <c r="H25" s="25">
        <f t="shared" si="10"/>
        <v>6.8945574089857544</v>
      </c>
      <c r="J25" s="2" t="s">
        <v>23</v>
      </c>
      <c r="K25">
        <v>1</v>
      </c>
      <c r="L25" t="s">
        <v>149</v>
      </c>
      <c r="M25" t="s">
        <v>152</v>
      </c>
      <c r="N25" t="s">
        <v>155</v>
      </c>
      <c r="O25">
        <v>4334.6666670000004</v>
      </c>
      <c r="P25">
        <v>23092</v>
      </c>
      <c r="Q25">
        <v>15426.666670000001</v>
      </c>
      <c r="R25">
        <v>11017</v>
      </c>
      <c r="S25">
        <f t="shared" si="8"/>
        <v>5.3272839122325983</v>
      </c>
      <c r="T25">
        <f t="shared" si="6"/>
        <v>3.5589049528176786</v>
      </c>
      <c r="U25" s="3">
        <f t="shared" si="7"/>
        <v>2.5416025836249148</v>
      </c>
    </row>
    <row r="26" spans="1:21" x14ac:dyDescent="0.2">
      <c r="A26" s="2" t="s">
        <v>22</v>
      </c>
      <c r="B26">
        <v>2950.666667</v>
      </c>
      <c r="C26">
        <v>12132.666670000001</v>
      </c>
      <c r="D26">
        <v>28428</v>
      </c>
      <c r="E26">
        <v>12482.666670000001</v>
      </c>
      <c r="F26">
        <f t="shared" si="11"/>
        <v>4.1118391330646364</v>
      </c>
      <c r="G26">
        <f t="shared" si="9"/>
        <v>9.6344328954321696</v>
      </c>
      <c r="H26" s="3">
        <f t="shared" si="10"/>
        <v>4.2304563946870246</v>
      </c>
      <c r="J26" s="2" t="s">
        <v>24</v>
      </c>
      <c r="K26">
        <v>1</v>
      </c>
      <c r="L26" t="s">
        <v>149</v>
      </c>
      <c r="M26" t="s">
        <v>152</v>
      </c>
      <c r="N26" t="s">
        <v>155</v>
      </c>
      <c r="O26">
        <v>2299.666667</v>
      </c>
      <c r="P26">
        <v>8437.6666669999995</v>
      </c>
      <c r="Q26">
        <v>7185.6666670000004</v>
      </c>
      <c r="R26">
        <v>5521.6666670000004</v>
      </c>
      <c r="S26">
        <f t="shared" si="8"/>
        <v>3.669082475334239</v>
      </c>
      <c r="T26">
        <f t="shared" si="6"/>
        <v>3.1246557469017748</v>
      </c>
      <c r="U26" s="3">
        <f t="shared" si="7"/>
        <v>2.4010726190170937</v>
      </c>
    </row>
    <row r="27" spans="1:21" x14ac:dyDescent="0.2">
      <c r="A27" s="2" t="s">
        <v>23</v>
      </c>
      <c r="B27">
        <v>4334.6666670000004</v>
      </c>
      <c r="C27">
        <v>23092</v>
      </c>
      <c r="D27">
        <v>15426.666670000001</v>
      </c>
      <c r="E27">
        <v>11017</v>
      </c>
      <c r="F27">
        <f t="shared" si="11"/>
        <v>5.3272839122325983</v>
      </c>
      <c r="G27">
        <f t="shared" si="9"/>
        <v>3.5589049528176786</v>
      </c>
      <c r="H27" s="3">
        <f t="shared" si="10"/>
        <v>2.5416025836249148</v>
      </c>
      <c r="J27" s="23" t="s">
        <v>25</v>
      </c>
      <c r="K27" s="24">
        <v>2</v>
      </c>
      <c r="L27" s="24" t="s">
        <v>149</v>
      </c>
      <c r="M27" s="24" t="s">
        <v>152</v>
      </c>
      <c r="N27" s="24" t="s">
        <v>155</v>
      </c>
      <c r="O27" s="24">
        <v>5318</v>
      </c>
      <c r="P27" s="24">
        <v>40393.333333333336</v>
      </c>
      <c r="Q27" s="24">
        <v>26147.666666666668</v>
      </c>
      <c r="R27" s="24">
        <v>19708.666666666668</v>
      </c>
      <c r="S27" s="24">
        <f t="shared" si="8"/>
        <v>7.5955873135263889</v>
      </c>
      <c r="T27" s="24">
        <f t="shared" si="6"/>
        <v>4.9168233671806449</v>
      </c>
      <c r="U27" s="25">
        <f t="shared" si="7"/>
        <v>3.7060298357778616</v>
      </c>
    </row>
    <row r="28" spans="1:21" x14ac:dyDescent="0.2">
      <c r="A28" s="2" t="s">
        <v>24</v>
      </c>
      <c r="B28">
        <v>2299.666667</v>
      </c>
      <c r="C28">
        <v>8437.6666669999995</v>
      </c>
      <c r="D28">
        <v>7185.6666670000004</v>
      </c>
      <c r="E28">
        <v>5521.6666670000004</v>
      </c>
      <c r="F28">
        <f t="shared" si="11"/>
        <v>3.669082475334239</v>
      </c>
      <c r="G28">
        <f t="shared" si="9"/>
        <v>3.1246557469017748</v>
      </c>
      <c r="H28" s="3">
        <f t="shared" si="10"/>
        <v>2.4010726190170937</v>
      </c>
      <c r="J28" s="23" t="s">
        <v>26</v>
      </c>
      <c r="K28" s="24">
        <v>2</v>
      </c>
      <c r="L28" s="24" t="s">
        <v>149</v>
      </c>
      <c r="M28" s="24" t="s">
        <v>152</v>
      </c>
      <c r="N28" s="24" t="s">
        <v>155</v>
      </c>
      <c r="O28" s="24">
        <v>5781</v>
      </c>
      <c r="P28" s="24">
        <v>69224.333333333328</v>
      </c>
      <c r="Q28" s="24">
        <v>57528.666666666664</v>
      </c>
      <c r="R28" s="24">
        <v>46793.333333333336</v>
      </c>
      <c r="S28" s="24">
        <f t="shared" si="8"/>
        <v>11.974456553076168</v>
      </c>
      <c r="T28" s="24">
        <f t="shared" si="6"/>
        <v>9.9513348324972615</v>
      </c>
      <c r="U28" s="25">
        <f t="shared" si="7"/>
        <v>8.094332007149859</v>
      </c>
    </row>
    <row r="29" spans="1:21" x14ac:dyDescent="0.2">
      <c r="A29" s="23" t="s">
        <v>25</v>
      </c>
      <c r="B29" s="24">
        <v>5318</v>
      </c>
      <c r="C29" s="24">
        <v>40393.333333333336</v>
      </c>
      <c r="D29" s="24">
        <v>26147.666666666668</v>
      </c>
      <c r="E29" s="24">
        <v>19708.666666666668</v>
      </c>
      <c r="F29" s="24">
        <f t="shared" si="11"/>
        <v>7.5955873135263889</v>
      </c>
      <c r="G29" s="24">
        <f t="shared" si="9"/>
        <v>4.9168233671806449</v>
      </c>
      <c r="H29" s="25">
        <f t="shared" si="10"/>
        <v>3.7060298357778616</v>
      </c>
      <c r="J29" s="2" t="s">
        <v>27</v>
      </c>
      <c r="K29">
        <v>1</v>
      </c>
      <c r="L29" t="s">
        <v>150</v>
      </c>
      <c r="M29" t="s">
        <v>153</v>
      </c>
      <c r="N29" t="s">
        <v>155</v>
      </c>
      <c r="O29">
        <v>6374</v>
      </c>
      <c r="P29">
        <v>24057.333330000001</v>
      </c>
      <c r="Q29">
        <v>42563.333330000001</v>
      </c>
      <c r="R29">
        <v>40460.333330000001</v>
      </c>
      <c r="S29">
        <f t="shared" si="8"/>
        <v>3.7742913915908378</v>
      </c>
      <c r="T29">
        <f t="shared" si="6"/>
        <v>6.6776487809852529</v>
      </c>
      <c r="U29" s="3">
        <f t="shared" si="7"/>
        <v>6.347714673674302</v>
      </c>
    </row>
    <row r="30" spans="1:21" x14ac:dyDescent="0.2">
      <c r="A30" s="23" t="s">
        <v>26</v>
      </c>
      <c r="B30" s="24">
        <v>5781</v>
      </c>
      <c r="C30" s="24">
        <v>69224.333333333328</v>
      </c>
      <c r="D30" s="24">
        <v>57528.666666666664</v>
      </c>
      <c r="E30" s="24">
        <v>46793.333333333336</v>
      </c>
      <c r="F30" s="24">
        <f t="shared" si="11"/>
        <v>11.974456553076168</v>
      </c>
      <c r="G30" s="24">
        <f t="shared" si="9"/>
        <v>9.9513348324972615</v>
      </c>
      <c r="H30" s="25">
        <f t="shared" si="10"/>
        <v>8.094332007149859</v>
      </c>
      <c r="J30" s="2" t="s">
        <v>28</v>
      </c>
      <c r="K30">
        <v>1</v>
      </c>
      <c r="L30" t="s">
        <v>150</v>
      </c>
      <c r="M30" t="s">
        <v>153</v>
      </c>
      <c r="N30" t="s">
        <v>155</v>
      </c>
      <c r="O30">
        <v>4935</v>
      </c>
      <c r="P30">
        <v>34316</v>
      </c>
      <c r="Q30">
        <v>30875.666669999999</v>
      </c>
      <c r="R30">
        <v>28604</v>
      </c>
      <c r="S30">
        <f t="shared" si="8"/>
        <v>6.9535967578520772</v>
      </c>
      <c r="T30">
        <f t="shared" si="6"/>
        <v>6.2564674103343458</v>
      </c>
      <c r="U30" s="3">
        <f t="shared" si="7"/>
        <v>5.796149949341439</v>
      </c>
    </row>
    <row r="31" spans="1:21" x14ac:dyDescent="0.2">
      <c r="A31" s="2" t="s">
        <v>27</v>
      </c>
      <c r="B31">
        <v>6374</v>
      </c>
      <c r="C31">
        <v>24057.333330000001</v>
      </c>
      <c r="D31">
        <v>42563.333330000001</v>
      </c>
      <c r="E31">
        <v>40460.333330000001</v>
      </c>
      <c r="F31">
        <f t="shared" si="11"/>
        <v>3.7742913915908378</v>
      </c>
      <c r="G31">
        <f t="shared" si="9"/>
        <v>6.6776487809852529</v>
      </c>
      <c r="H31" s="3">
        <f t="shared" si="10"/>
        <v>6.347714673674302</v>
      </c>
      <c r="J31" s="2" t="s">
        <v>29</v>
      </c>
      <c r="K31">
        <v>1</v>
      </c>
      <c r="L31" t="s">
        <v>150</v>
      </c>
      <c r="M31" t="s">
        <v>153</v>
      </c>
      <c r="N31" t="s">
        <v>155</v>
      </c>
      <c r="O31">
        <v>3721</v>
      </c>
      <c r="P31">
        <v>36780.666669999999</v>
      </c>
      <c r="Q31">
        <v>32811.333330000001</v>
      </c>
      <c r="R31">
        <v>28745.333330000001</v>
      </c>
      <c r="S31">
        <f t="shared" si="8"/>
        <v>9.8846188309594183</v>
      </c>
      <c r="T31">
        <f t="shared" si="6"/>
        <v>8.8178804971781783</v>
      </c>
      <c r="U31" s="3">
        <f t="shared" si="7"/>
        <v>7.7251634856221445</v>
      </c>
    </row>
    <row r="32" spans="1:21" x14ac:dyDescent="0.2">
      <c r="A32" s="2" t="s">
        <v>28</v>
      </c>
      <c r="B32">
        <v>4935</v>
      </c>
      <c r="C32">
        <v>34316</v>
      </c>
      <c r="D32">
        <v>30875.666669999999</v>
      </c>
      <c r="E32">
        <v>28604</v>
      </c>
      <c r="F32">
        <f t="shared" si="11"/>
        <v>6.9535967578520772</v>
      </c>
      <c r="G32">
        <f t="shared" si="9"/>
        <v>6.2564674103343458</v>
      </c>
      <c r="H32" s="3">
        <f t="shared" si="10"/>
        <v>5.796149949341439</v>
      </c>
      <c r="J32" s="23" t="s">
        <v>30</v>
      </c>
      <c r="K32" s="24">
        <v>2</v>
      </c>
      <c r="L32" s="24" t="s">
        <v>150</v>
      </c>
      <c r="M32" s="24" t="s">
        <v>153</v>
      </c>
      <c r="N32" s="24" t="s">
        <v>155</v>
      </c>
      <c r="O32" s="24">
        <v>8209</v>
      </c>
      <c r="P32" s="24">
        <v>91893</v>
      </c>
      <c r="Q32" s="24">
        <v>77995.666666666672</v>
      </c>
      <c r="R32" s="24">
        <v>64755.333333333336</v>
      </c>
      <c r="S32" s="24">
        <f t="shared" si="8"/>
        <v>11.19417712267024</v>
      </c>
      <c r="T32" s="24">
        <f t="shared" si="6"/>
        <v>9.5012384780931498</v>
      </c>
      <c r="U32" s="25">
        <f t="shared" si="7"/>
        <v>7.8883339424209202</v>
      </c>
    </row>
    <row r="33" spans="1:21" ht="17" thickBot="1" x14ac:dyDescent="0.25">
      <c r="A33" s="2" t="s">
        <v>29</v>
      </c>
      <c r="B33">
        <v>3721</v>
      </c>
      <c r="C33">
        <v>36780.666669999999</v>
      </c>
      <c r="D33">
        <v>32811.333330000001</v>
      </c>
      <c r="E33">
        <v>28745.333330000001</v>
      </c>
      <c r="F33">
        <f t="shared" si="11"/>
        <v>9.8846188309594183</v>
      </c>
      <c r="G33">
        <f t="shared" si="9"/>
        <v>8.8178804971781783</v>
      </c>
      <c r="H33" s="3">
        <f t="shared" si="10"/>
        <v>7.7251634856221445</v>
      </c>
      <c r="J33" s="26" t="s">
        <v>31</v>
      </c>
      <c r="K33" s="27">
        <v>2</v>
      </c>
      <c r="L33" s="27" t="s">
        <v>150</v>
      </c>
      <c r="M33" s="27" t="s">
        <v>153</v>
      </c>
      <c r="N33" s="27" t="s">
        <v>155</v>
      </c>
      <c r="O33" s="27">
        <v>5466.333333333333</v>
      </c>
      <c r="P33" s="27">
        <v>70797.333333333328</v>
      </c>
      <c r="Q33" s="27">
        <v>53653</v>
      </c>
      <c r="R33" s="27">
        <v>46262.666666666664</v>
      </c>
      <c r="S33" s="27">
        <f t="shared" si="8"/>
        <v>12.951521434233795</v>
      </c>
      <c r="T33" s="27">
        <f t="shared" si="6"/>
        <v>9.8151716568083422</v>
      </c>
      <c r="U33" s="28">
        <f t="shared" si="7"/>
        <v>8.4631989755472894</v>
      </c>
    </row>
    <row r="34" spans="1:21" x14ac:dyDescent="0.2">
      <c r="A34" s="23" t="s">
        <v>30</v>
      </c>
      <c r="B34" s="24">
        <v>8209</v>
      </c>
      <c r="C34" s="24">
        <v>91893</v>
      </c>
      <c r="D34" s="24">
        <v>77995.666666666672</v>
      </c>
      <c r="E34" s="24">
        <v>64755.333333333336</v>
      </c>
      <c r="F34" s="24">
        <f t="shared" si="11"/>
        <v>11.19417712267024</v>
      </c>
      <c r="G34" s="24">
        <f t="shared" si="9"/>
        <v>9.5012384780931498</v>
      </c>
      <c r="H34" s="25">
        <f t="shared" si="10"/>
        <v>7.8883339424209202</v>
      </c>
    </row>
    <row r="35" spans="1:21" ht="17" thickBot="1" x14ac:dyDescent="0.25">
      <c r="A35" s="26" t="s">
        <v>31</v>
      </c>
      <c r="B35" s="27">
        <v>5466.333333333333</v>
      </c>
      <c r="C35" s="27">
        <v>70797.333333333328</v>
      </c>
      <c r="D35" s="27">
        <v>53653</v>
      </c>
      <c r="E35" s="27">
        <v>46262.666666666664</v>
      </c>
      <c r="F35" s="27">
        <f t="shared" si="11"/>
        <v>12.951521434233795</v>
      </c>
      <c r="G35" s="27">
        <f t="shared" si="9"/>
        <v>9.8151716568083422</v>
      </c>
      <c r="H35" s="28">
        <f t="shared" si="10"/>
        <v>8.4631989755472894</v>
      </c>
    </row>
    <row r="38" spans="1:21" ht="48" thickBot="1" x14ac:dyDescent="0.6">
      <c r="A38" s="40" t="s">
        <v>109</v>
      </c>
      <c r="J38" s="42" t="s">
        <v>140</v>
      </c>
      <c r="K38" s="42"/>
      <c r="L38" s="42"/>
      <c r="M38" s="42"/>
      <c r="N38" s="42"/>
    </row>
    <row r="39" spans="1:21" ht="17" thickBot="1" x14ac:dyDescent="0.25">
      <c r="A39" s="6" t="s">
        <v>1</v>
      </c>
      <c r="B39" s="7" t="s">
        <v>32</v>
      </c>
      <c r="C39" s="7" t="s">
        <v>34</v>
      </c>
      <c r="D39" s="7" t="s">
        <v>35</v>
      </c>
      <c r="E39" s="7" t="s">
        <v>36</v>
      </c>
      <c r="F39" s="7" t="s">
        <v>37</v>
      </c>
      <c r="G39" s="7" t="s">
        <v>38</v>
      </c>
      <c r="H39" s="8" t="s">
        <v>39</v>
      </c>
      <c r="J39" s="6" t="s">
        <v>1</v>
      </c>
      <c r="K39" s="7" t="s">
        <v>141</v>
      </c>
      <c r="L39" s="7" t="s">
        <v>142</v>
      </c>
      <c r="M39" s="7" t="s">
        <v>143</v>
      </c>
      <c r="N39" s="7" t="s">
        <v>144</v>
      </c>
      <c r="O39" s="7" t="s">
        <v>32</v>
      </c>
      <c r="P39" s="7" t="s">
        <v>34</v>
      </c>
      <c r="Q39" s="7" t="s">
        <v>35</v>
      </c>
      <c r="R39" s="7" t="s">
        <v>36</v>
      </c>
      <c r="S39" s="7" t="s">
        <v>37</v>
      </c>
      <c r="T39" s="7" t="s">
        <v>38</v>
      </c>
      <c r="U39" s="8" t="s">
        <v>39</v>
      </c>
    </row>
    <row r="40" spans="1:21" x14ac:dyDescent="0.2">
      <c r="A40" s="2" t="s">
        <v>93</v>
      </c>
      <c r="B40">
        <v>5588.333333333333</v>
      </c>
      <c r="C40">
        <v>6077.333333333333</v>
      </c>
      <c r="D40">
        <v>28537.333333333332</v>
      </c>
      <c r="E40">
        <v>13435.666666666666</v>
      </c>
      <c r="F40" s="29">
        <f>C40/B40</f>
        <v>1.0875037280047719</v>
      </c>
      <c r="G40" s="29">
        <f>D40/B40</f>
        <v>5.1065911124366243</v>
      </c>
      <c r="H40" s="37">
        <f>E40/B40</f>
        <v>2.4042350134208172</v>
      </c>
      <c r="J40" s="2" t="s">
        <v>93</v>
      </c>
      <c r="K40">
        <v>1</v>
      </c>
      <c r="L40" t="s">
        <v>145</v>
      </c>
      <c r="M40" t="s">
        <v>151</v>
      </c>
      <c r="N40" t="s">
        <v>154</v>
      </c>
      <c r="O40">
        <v>5588.333333333333</v>
      </c>
      <c r="P40">
        <v>6077.333333333333</v>
      </c>
      <c r="Q40">
        <v>28537.333333333332</v>
      </c>
      <c r="R40">
        <v>13435.666666666666</v>
      </c>
      <c r="S40" s="29">
        <f>P40/O40</f>
        <v>1.0875037280047719</v>
      </c>
      <c r="T40" s="29">
        <f>Q40/O40</f>
        <v>5.1065911124366243</v>
      </c>
      <c r="U40" s="37">
        <f>R40/O40</f>
        <v>2.4042350134208172</v>
      </c>
    </row>
    <row r="41" spans="1:21" x14ac:dyDescent="0.2">
      <c r="A41" s="2" t="s">
        <v>2</v>
      </c>
      <c r="B41">
        <v>4302.333333333333</v>
      </c>
      <c r="C41">
        <v>1046</v>
      </c>
      <c r="D41">
        <v>14932.666666666666</v>
      </c>
      <c r="E41">
        <v>9320.3333333333339</v>
      </c>
      <c r="F41">
        <f t="shared" ref="F41:F49" si="12">C41/B41</f>
        <v>0.243123886263268</v>
      </c>
      <c r="G41">
        <f t="shared" ref="G41:G49" si="13">D41/B41</f>
        <v>3.4708297822886807</v>
      </c>
      <c r="H41" s="3">
        <f t="shared" ref="H41:H49" si="14">E41/B41</f>
        <v>2.1663438444255059</v>
      </c>
      <c r="J41" s="2" t="s">
        <v>2</v>
      </c>
      <c r="K41">
        <v>1</v>
      </c>
      <c r="L41" t="s">
        <v>145</v>
      </c>
      <c r="M41" t="s">
        <v>151</v>
      </c>
      <c r="N41" t="s">
        <v>154</v>
      </c>
      <c r="O41">
        <v>4302.333333333333</v>
      </c>
      <c r="P41">
        <v>1046</v>
      </c>
      <c r="Q41">
        <v>14932.666666666666</v>
      </c>
      <c r="R41">
        <v>9320.3333333333339</v>
      </c>
      <c r="S41">
        <f t="shared" ref="S41:S49" si="15">P41/O41</f>
        <v>0.243123886263268</v>
      </c>
      <c r="T41">
        <f t="shared" ref="T41:T49" si="16">Q41/O41</f>
        <v>3.4708297822886807</v>
      </c>
      <c r="U41" s="3">
        <f t="shared" ref="U41:U49" si="17">R41/O41</f>
        <v>2.1663438444255059</v>
      </c>
    </row>
    <row r="42" spans="1:21" x14ac:dyDescent="0.2">
      <c r="A42" s="2" t="s">
        <v>5</v>
      </c>
      <c r="B42">
        <v>3854.3333333333335</v>
      </c>
      <c r="C42">
        <v>6304</v>
      </c>
      <c r="D42">
        <v>20441</v>
      </c>
      <c r="E42">
        <v>11534.333333333334</v>
      </c>
      <c r="F42">
        <f t="shared" si="12"/>
        <v>1.6355617054397646</v>
      </c>
      <c r="G42">
        <f t="shared" si="13"/>
        <v>5.3033814753956587</v>
      </c>
      <c r="H42" s="3">
        <f t="shared" si="14"/>
        <v>2.9925624837844849</v>
      </c>
      <c r="J42" s="2" t="s">
        <v>5</v>
      </c>
      <c r="K42">
        <v>1</v>
      </c>
      <c r="L42" t="s">
        <v>145</v>
      </c>
      <c r="M42" t="s">
        <v>151</v>
      </c>
      <c r="N42" t="s">
        <v>154</v>
      </c>
      <c r="O42">
        <v>3854.3333333333335</v>
      </c>
      <c r="P42">
        <v>6304</v>
      </c>
      <c r="Q42">
        <v>20441</v>
      </c>
      <c r="R42">
        <v>11534.333333333334</v>
      </c>
      <c r="S42">
        <f t="shared" si="15"/>
        <v>1.6355617054397646</v>
      </c>
      <c r="T42">
        <f t="shared" si="16"/>
        <v>5.3033814753956587</v>
      </c>
      <c r="U42" s="3">
        <f t="shared" si="17"/>
        <v>2.9925624837844849</v>
      </c>
    </row>
    <row r="43" spans="1:21" x14ac:dyDescent="0.2">
      <c r="A43" s="2" t="s">
        <v>67</v>
      </c>
      <c r="B43">
        <v>5094</v>
      </c>
      <c r="C43">
        <v>3794.3333333333335</v>
      </c>
      <c r="D43">
        <v>26995.333333333332</v>
      </c>
      <c r="E43">
        <v>13424</v>
      </c>
      <c r="F43">
        <f t="shared" si="12"/>
        <v>0.74486323779609998</v>
      </c>
      <c r="G43">
        <f t="shared" si="13"/>
        <v>5.2994372464337127</v>
      </c>
      <c r="H43" s="3">
        <f t="shared" si="14"/>
        <v>2.6352571652925012</v>
      </c>
      <c r="J43" s="2" t="s">
        <v>67</v>
      </c>
      <c r="K43">
        <v>1</v>
      </c>
      <c r="L43" t="s">
        <v>145</v>
      </c>
      <c r="M43" t="s">
        <v>151</v>
      </c>
      <c r="N43" t="s">
        <v>154</v>
      </c>
      <c r="O43">
        <v>5094</v>
      </c>
      <c r="P43">
        <v>3794.3333333333335</v>
      </c>
      <c r="Q43">
        <v>26995.333333333332</v>
      </c>
      <c r="R43">
        <v>13424</v>
      </c>
      <c r="S43">
        <f t="shared" si="15"/>
        <v>0.74486323779609998</v>
      </c>
      <c r="T43">
        <f t="shared" si="16"/>
        <v>5.2994372464337127</v>
      </c>
      <c r="U43" s="3">
        <f t="shared" si="17"/>
        <v>2.6352571652925012</v>
      </c>
    </row>
    <row r="44" spans="1:21" x14ac:dyDescent="0.2">
      <c r="A44" s="2" t="s">
        <v>74</v>
      </c>
      <c r="B44">
        <v>6292.666666666667</v>
      </c>
      <c r="C44">
        <v>4018</v>
      </c>
      <c r="D44">
        <v>26749</v>
      </c>
      <c r="E44">
        <v>16747.333333333332</v>
      </c>
      <c r="F44">
        <f t="shared" si="12"/>
        <v>0.63852102977010272</v>
      </c>
      <c r="G44">
        <f t="shared" si="13"/>
        <v>4.2508210615531308</v>
      </c>
      <c r="H44" s="3">
        <f t="shared" si="14"/>
        <v>2.6614048098315495</v>
      </c>
      <c r="J44" s="2" t="s">
        <v>74</v>
      </c>
      <c r="K44">
        <v>1</v>
      </c>
      <c r="L44" t="s">
        <v>145</v>
      </c>
      <c r="M44" t="s">
        <v>151</v>
      </c>
      <c r="N44" t="s">
        <v>154</v>
      </c>
      <c r="O44">
        <v>6292.666666666667</v>
      </c>
      <c r="P44">
        <v>4018</v>
      </c>
      <c r="Q44">
        <v>26749</v>
      </c>
      <c r="R44">
        <v>16747.333333333332</v>
      </c>
      <c r="S44">
        <f t="shared" si="15"/>
        <v>0.63852102977010272</v>
      </c>
      <c r="T44">
        <f t="shared" si="16"/>
        <v>4.2508210615531308</v>
      </c>
      <c r="U44" s="3">
        <f t="shared" si="17"/>
        <v>2.6614048098315495</v>
      </c>
    </row>
    <row r="45" spans="1:21" x14ac:dyDescent="0.2">
      <c r="A45" s="2" t="s">
        <v>7</v>
      </c>
      <c r="B45">
        <v>3559.3333333333335</v>
      </c>
      <c r="C45">
        <v>3995</v>
      </c>
      <c r="D45">
        <v>11532.333333333334</v>
      </c>
      <c r="E45">
        <v>9274</v>
      </c>
      <c r="F45">
        <f t="shared" si="12"/>
        <v>1.1224011987263531</v>
      </c>
      <c r="G45">
        <f t="shared" si="13"/>
        <v>3.2400262221389773</v>
      </c>
      <c r="H45" s="3">
        <f t="shared" si="14"/>
        <v>2.6055441093837794</v>
      </c>
      <c r="J45" s="2" t="s">
        <v>7</v>
      </c>
      <c r="K45">
        <v>1</v>
      </c>
      <c r="L45" t="s">
        <v>146</v>
      </c>
      <c r="M45" t="s">
        <v>152</v>
      </c>
      <c r="N45" t="s">
        <v>154</v>
      </c>
      <c r="O45">
        <v>3559.3333333333335</v>
      </c>
      <c r="P45">
        <v>3995</v>
      </c>
      <c r="Q45">
        <v>11532.333333333334</v>
      </c>
      <c r="R45">
        <v>9274</v>
      </c>
      <c r="S45">
        <f t="shared" si="15"/>
        <v>1.1224011987263531</v>
      </c>
      <c r="T45">
        <f t="shared" si="16"/>
        <v>3.2400262221389773</v>
      </c>
      <c r="U45" s="3">
        <f t="shared" si="17"/>
        <v>2.6055441093837794</v>
      </c>
    </row>
    <row r="46" spans="1:21" x14ac:dyDescent="0.2">
      <c r="A46" s="2" t="s">
        <v>96</v>
      </c>
      <c r="B46">
        <v>3138.6666666666665</v>
      </c>
      <c r="C46">
        <v>2984.6666666666665</v>
      </c>
      <c r="D46">
        <v>6494</v>
      </c>
      <c r="E46">
        <v>4801.333333333333</v>
      </c>
      <c r="F46">
        <f t="shared" si="12"/>
        <v>0.9509345794392523</v>
      </c>
      <c r="G46">
        <f t="shared" si="13"/>
        <v>2.0690314358538657</v>
      </c>
      <c r="H46" s="3">
        <f t="shared" si="14"/>
        <v>1.5297366185216652</v>
      </c>
      <c r="J46" s="2" t="s">
        <v>96</v>
      </c>
      <c r="K46">
        <v>1</v>
      </c>
      <c r="L46" t="s">
        <v>146</v>
      </c>
      <c r="M46" t="s">
        <v>152</v>
      </c>
      <c r="N46" t="s">
        <v>154</v>
      </c>
      <c r="O46">
        <v>3138.6666666666665</v>
      </c>
      <c r="P46">
        <v>2984.6666666666665</v>
      </c>
      <c r="Q46">
        <v>6494</v>
      </c>
      <c r="R46">
        <v>4801.333333333333</v>
      </c>
      <c r="S46">
        <f t="shared" si="15"/>
        <v>0.9509345794392523</v>
      </c>
      <c r="T46">
        <f t="shared" si="16"/>
        <v>2.0690314358538657</v>
      </c>
      <c r="U46" s="3">
        <f t="shared" si="17"/>
        <v>1.5297366185216652</v>
      </c>
    </row>
    <row r="47" spans="1:21" x14ac:dyDescent="0.2">
      <c r="A47" s="2" t="s">
        <v>8</v>
      </c>
      <c r="B47">
        <v>3838</v>
      </c>
      <c r="C47">
        <v>12046</v>
      </c>
      <c r="D47">
        <v>20093</v>
      </c>
      <c r="E47">
        <v>18739.666666666668</v>
      </c>
      <c r="F47">
        <f t="shared" si="12"/>
        <v>3.1386138613861387</v>
      </c>
      <c r="G47">
        <f t="shared" si="13"/>
        <v>5.2352787910369987</v>
      </c>
      <c r="H47" s="3">
        <f t="shared" si="14"/>
        <v>4.8826645822476991</v>
      </c>
      <c r="J47" s="2" t="s">
        <v>8</v>
      </c>
      <c r="K47">
        <v>1</v>
      </c>
      <c r="L47" t="s">
        <v>146</v>
      </c>
      <c r="M47" t="s">
        <v>152</v>
      </c>
      <c r="N47" t="s">
        <v>154</v>
      </c>
      <c r="O47">
        <v>3838</v>
      </c>
      <c r="P47">
        <v>12046</v>
      </c>
      <c r="Q47">
        <v>20093</v>
      </c>
      <c r="R47">
        <v>18739.666666666668</v>
      </c>
      <c r="S47">
        <f t="shared" si="15"/>
        <v>3.1386138613861387</v>
      </c>
      <c r="T47">
        <f t="shared" si="16"/>
        <v>5.2352787910369987</v>
      </c>
      <c r="U47" s="3">
        <f t="shared" si="17"/>
        <v>4.8826645822476991</v>
      </c>
    </row>
    <row r="48" spans="1:21" x14ac:dyDescent="0.2">
      <c r="A48" s="2" t="s">
        <v>9</v>
      </c>
      <c r="B48">
        <v>6402.333333333333</v>
      </c>
      <c r="C48">
        <v>27959.666666666668</v>
      </c>
      <c r="D48">
        <v>45881.333333333336</v>
      </c>
      <c r="E48">
        <v>27244.333333333332</v>
      </c>
      <c r="F48">
        <f t="shared" si="12"/>
        <v>4.3671057426979747</v>
      </c>
      <c r="G48">
        <f t="shared" si="13"/>
        <v>7.1663456031655137</v>
      </c>
      <c r="H48" s="3">
        <f t="shared" si="14"/>
        <v>4.2553756442963504</v>
      </c>
      <c r="J48" s="2" t="s">
        <v>9</v>
      </c>
      <c r="K48">
        <v>1</v>
      </c>
      <c r="L48" t="s">
        <v>146</v>
      </c>
      <c r="M48" t="s">
        <v>152</v>
      </c>
      <c r="N48" t="s">
        <v>154</v>
      </c>
      <c r="O48">
        <v>6402.333333333333</v>
      </c>
      <c r="P48">
        <v>27959.666666666668</v>
      </c>
      <c r="Q48">
        <v>45881.333333333336</v>
      </c>
      <c r="R48">
        <v>27244.333333333332</v>
      </c>
      <c r="S48">
        <f t="shared" si="15"/>
        <v>4.3671057426979747</v>
      </c>
      <c r="T48">
        <f t="shared" si="16"/>
        <v>7.1663456031655137</v>
      </c>
      <c r="U48" s="3">
        <f t="shared" si="17"/>
        <v>4.2553756442963504</v>
      </c>
    </row>
    <row r="49" spans="1:21" ht="17" thickBot="1" x14ac:dyDescent="0.25">
      <c r="A49" s="4" t="s">
        <v>97</v>
      </c>
      <c r="B49" s="5">
        <v>6542.666666666667</v>
      </c>
      <c r="C49" s="5">
        <v>19904</v>
      </c>
      <c r="D49" s="5">
        <v>29692</v>
      </c>
      <c r="E49" s="5">
        <v>21924</v>
      </c>
      <c r="F49" s="5">
        <f t="shared" si="12"/>
        <v>3.0421846341960461</v>
      </c>
      <c r="G49" s="5">
        <f t="shared" si="13"/>
        <v>4.5382107193804764</v>
      </c>
      <c r="H49" s="41">
        <f t="shared" si="14"/>
        <v>3.3509272467902993</v>
      </c>
      <c r="J49" s="4" t="s">
        <v>97</v>
      </c>
      <c r="K49" s="5">
        <v>1</v>
      </c>
      <c r="L49" s="5" t="s">
        <v>146</v>
      </c>
      <c r="M49" s="5" t="s">
        <v>152</v>
      </c>
      <c r="N49" s="5" t="s">
        <v>154</v>
      </c>
      <c r="O49" s="5">
        <v>6542.666666666667</v>
      </c>
      <c r="P49" s="5">
        <v>19904</v>
      </c>
      <c r="Q49" s="5">
        <v>29692</v>
      </c>
      <c r="R49" s="5">
        <v>21924</v>
      </c>
      <c r="S49" s="5">
        <f t="shared" si="15"/>
        <v>3.0421846341960461</v>
      </c>
      <c r="T49" s="5">
        <f t="shared" si="16"/>
        <v>4.5382107193804764</v>
      </c>
      <c r="U49" s="41">
        <f t="shared" si="17"/>
        <v>3.3509272467902993</v>
      </c>
    </row>
    <row r="50" spans="1:21" ht="17" thickBot="1" x14ac:dyDescent="0.25">
      <c r="A50" s="2"/>
      <c r="H50" s="3"/>
      <c r="J50" s="36" t="s">
        <v>17</v>
      </c>
      <c r="K50" s="29">
        <v>1</v>
      </c>
      <c r="L50" s="29" t="s">
        <v>148</v>
      </c>
      <c r="M50" s="29" t="s">
        <v>151</v>
      </c>
      <c r="N50" s="29" t="s">
        <v>155</v>
      </c>
      <c r="O50" s="29">
        <v>4993.666666666667</v>
      </c>
      <c r="P50" s="29">
        <v>6162</v>
      </c>
      <c r="Q50" s="29">
        <v>18297.333333333332</v>
      </c>
      <c r="R50" s="29">
        <v>18083.666666666668</v>
      </c>
      <c r="S50" s="29">
        <f>P50/O50</f>
        <v>1.2339630198251117</v>
      </c>
      <c r="T50" s="29">
        <f>Q50/O50</f>
        <v>3.6641078699686265</v>
      </c>
      <c r="U50" s="37">
        <f>R50/O50</f>
        <v>3.6213203390961883</v>
      </c>
    </row>
    <row r="51" spans="1:21" ht="17" thickBot="1" x14ac:dyDescent="0.25">
      <c r="A51" s="36" t="s">
        <v>1</v>
      </c>
      <c r="B51" s="29" t="s">
        <v>32</v>
      </c>
      <c r="C51" s="7" t="s">
        <v>34</v>
      </c>
      <c r="D51" s="7" t="s">
        <v>35</v>
      </c>
      <c r="E51" s="7" t="s">
        <v>36</v>
      </c>
      <c r="F51" s="7" t="s">
        <v>37</v>
      </c>
      <c r="G51" s="7" t="s">
        <v>38</v>
      </c>
      <c r="H51" s="8" t="s">
        <v>39</v>
      </c>
      <c r="J51" s="2" t="s">
        <v>138</v>
      </c>
      <c r="K51">
        <v>1</v>
      </c>
      <c r="L51" t="s">
        <v>148</v>
      </c>
      <c r="M51" t="s">
        <v>151</v>
      </c>
      <c r="N51" t="s">
        <v>155</v>
      </c>
      <c r="O51">
        <v>6241</v>
      </c>
      <c r="P51">
        <v>7117</v>
      </c>
      <c r="Q51">
        <v>26947.666666666668</v>
      </c>
      <c r="R51">
        <v>17908.333333333332</v>
      </c>
      <c r="S51">
        <f t="shared" ref="S51:S59" si="18">P51/O51</f>
        <v>1.1403621214548951</v>
      </c>
      <c r="T51">
        <f t="shared" ref="T51:T59" si="19">Q51/O51</f>
        <v>4.3178443625487368</v>
      </c>
      <c r="U51" s="3">
        <f t="shared" ref="U51:U59" si="20">R51/O51</f>
        <v>2.8694653634567109</v>
      </c>
    </row>
    <row r="52" spans="1:21" x14ac:dyDescent="0.2">
      <c r="A52" s="36" t="s">
        <v>17</v>
      </c>
      <c r="B52" s="29">
        <v>4993.666666666667</v>
      </c>
      <c r="C52" s="29">
        <v>6162</v>
      </c>
      <c r="D52" s="29">
        <v>18297.333333333332</v>
      </c>
      <c r="E52" s="29">
        <v>18083.666666666668</v>
      </c>
      <c r="F52" s="29">
        <f>C52/B52</f>
        <v>1.2339630198251117</v>
      </c>
      <c r="G52" s="29">
        <f>D52/B52</f>
        <v>3.6641078699686265</v>
      </c>
      <c r="H52" s="37">
        <f>E52/B52</f>
        <v>3.6213203390961883</v>
      </c>
      <c r="J52" s="2" t="s">
        <v>18</v>
      </c>
      <c r="K52">
        <v>1</v>
      </c>
      <c r="L52" t="s">
        <v>148</v>
      </c>
      <c r="M52" t="s">
        <v>151</v>
      </c>
      <c r="N52" t="s">
        <v>155</v>
      </c>
      <c r="O52">
        <v>7373.333333333333</v>
      </c>
      <c r="P52">
        <v>3582</v>
      </c>
      <c r="Q52">
        <v>32248.333333333332</v>
      </c>
      <c r="R52">
        <v>21611</v>
      </c>
      <c r="S52">
        <f t="shared" si="18"/>
        <v>0.48580470162748646</v>
      </c>
      <c r="T52">
        <f t="shared" si="19"/>
        <v>4.373643761301989</v>
      </c>
      <c r="U52" s="3">
        <f t="shared" si="20"/>
        <v>2.9309674502712477</v>
      </c>
    </row>
    <row r="53" spans="1:21" x14ac:dyDescent="0.2">
      <c r="A53" s="2" t="s">
        <v>138</v>
      </c>
      <c r="B53">
        <v>6241</v>
      </c>
      <c r="C53">
        <v>7117</v>
      </c>
      <c r="D53">
        <v>26947.666666666668</v>
      </c>
      <c r="E53">
        <v>17908.333333333332</v>
      </c>
      <c r="F53">
        <f t="shared" ref="F53:F61" si="21">C53/B53</f>
        <v>1.1403621214548951</v>
      </c>
      <c r="G53">
        <f t="shared" ref="G53:G61" si="22">D53/B53</f>
        <v>4.3178443625487368</v>
      </c>
      <c r="H53" s="3">
        <f t="shared" ref="H53:H61" si="23">E53/B53</f>
        <v>2.8694653634567109</v>
      </c>
      <c r="J53" s="2" t="s">
        <v>100</v>
      </c>
      <c r="K53">
        <v>1</v>
      </c>
      <c r="L53" t="s">
        <v>148</v>
      </c>
      <c r="M53" t="s">
        <v>151</v>
      </c>
      <c r="N53" t="s">
        <v>155</v>
      </c>
      <c r="O53">
        <v>5291</v>
      </c>
      <c r="P53">
        <v>966.33333333333337</v>
      </c>
      <c r="Q53">
        <v>20186.666666666668</v>
      </c>
      <c r="R53">
        <v>9911.3333333333339</v>
      </c>
      <c r="S53">
        <f t="shared" si="18"/>
        <v>0.18263718263718265</v>
      </c>
      <c r="T53">
        <f t="shared" si="19"/>
        <v>3.8152838152838155</v>
      </c>
      <c r="U53" s="3">
        <f t="shared" si="20"/>
        <v>1.8732438732438734</v>
      </c>
    </row>
    <row r="54" spans="1:21" x14ac:dyDescent="0.2">
      <c r="A54" s="2" t="s">
        <v>18</v>
      </c>
      <c r="B54">
        <v>7373.333333333333</v>
      </c>
      <c r="C54">
        <v>3582</v>
      </c>
      <c r="D54">
        <v>32248.333333333332</v>
      </c>
      <c r="E54">
        <v>21611</v>
      </c>
      <c r="F54">
        <f t="shared" si="21"/>
        <v>0.48580470162748646</v>
      </c>
      <c r="G54">
        <f t="shared" si="22"/>
        <v>4.373643761301989</v>
      </c>
      <c r="H54" s="3">
        <f t="shared" si="23"/>
        <v>2.9309674502712477</v>
      </c>
      <c r="J54" s="2" t="s">
        <v>101</v>
      </c>
      <c r="K54">
        <v>1</v>
      </c>
      <c r="L54" t="s">
        <v>148</v>
      </c>
      <c r="M54" t="s">
        <v>151</v>
      </c>
      <c r="N54" t="s">
        <v>155</v>
      </c>
      <c r="O54">
        <v>5263</v>
      </c>
      <c r="P54">
        <v>2624</v>
      </c>
      <c r="Q54">
        <v>23122</v>
      </c>
      <c r="R54">
        <v>14827.666666666666</v>
      </c>
      <c r="S54">
        <f t="shared" si="18"/>
        <v>0.49857495724871748</v>
      </c>
      <c r="T54">
        <f t="shared" si="19"/>
        <v>4.393311799353981</v>
      </c>
      <c r="U54" s="3">
        <f t="shared" si="20"/>
        <v>2.8173411869022735</v>
      </c>
    </row>
    <row r="55" spans="1:21" x14ac:dyDescent="0.2">
      <c r="A55" s="2" t="s">
        <v>100</v>
      </c>
      <c r="B55">
        <v>5291</v>
      </c>
      <c r="C55">
        <v>966.33333333333337</v>
      </c>
      <c r="D55">
        <v>20186.666666666668</v>
      </c>
      <c r="E55">
        <v>9911.3333333333339</v>
      </c>
      <c r="F55">
        <f t="shared" si="21"/>
        <v>0.18263718263718265</v>
      </c>
      <c r="G55">
        <f t="shared" si="22"/>
        <v>3.8152838152838155</v>
      </c>
      <c r="H55" s="3">
        <f t="shared" si="23"/>
        <v>1.8732438732438734</v>
      </c>
      <c r="J55" s="2" t="s">
        <v>22</v>
      </c>
      <c r="K55">
        <v>1</v>
      </c>
      <c r="L55" t="s">
        <v>149</v>
      </c>
      <c r="M55" t="s">
        <v>152</v>
      </c>
      <c r="N55" t="s">
        <v>155</v>
      </c>
      <c r="O55">
        <v>1805.1666666666667</v>
      </c>
      <c r="P55">
        <v>9245.8333333333339</v>
      </c>
      <c r="Q55">
        <v>11272.5</v>
      </c>
      <c r="R55">
        <v>8511.6666666666661</v>
      </c>
      <c r="S55">
        <f t="shared" si="18"/>
        <v>5.1218724032868623</v>
      </c>
      <c r="T55">
        <f t="shared" si="19"/>
        <v>6.2445757547779523</v>
      </c>
      <c r="U55" s="3">
        <f t="shared" si="20"/>
        <v>4.7151694211060837</v>
      </c>
    </row>
    <row r="56" spans="1:21" x14ac:dyDescent="0.2">
      <c r="A56" s="2" t="s">
        <v>101</v>
      </c>
      <c r="B56">
        <v>5263</v>
      </c>
      <c r="C56">
        <v>2624</v>
      </c>
      <c r="D56">
        <v>23122</v>
      </c>
      <c r="E56">
        <v>14827.666666666666</v>
      </c>
      <c r="F56">
        <f t="shared" si="21"/>
        <v>0.49857495724871748</v>
      </c>
      <c r="G56">
        <f t="shared" si="22"/>
        <v>4.393311799353981</v>
      </c>
      <c r="H56" s="3">
        <f t="shared" si="23"/>
        <v>2.8173411869022735</v>
      </c>
      <c r="J56" s="2" t="s">
        <v>23</v>
      </c>
      <c r="K56">
        <v>1</v>
      </c>
      <c r="L56" t="s">
        <v>149</v>
      </c>
      <c r="M56" t="s">
        <v>152</v>
      </c>
      <c r="N56" t="s">
        <v>155</v>
      </c>
      <c r="O56">
        <v>6167.333333333333</v>
      </c>
      <c r="P56">
        <v>25542</v>
      </c>
      <c r="Q56">
        <v>35057</v>
      </c>
      <c r="R56">
        <v>25245.666666666668</v>
      </c>
      <c r="S56">
        <f t="shared" si="18"/>
        <v>4.1414982164090368</v>
      </c>
      <c r="T56">
        <f t="shared" si="19"/>
        <v>5.6843043995243763</v>
      </c>
      <c r="U56" s="3">
        <f t="shared" si="20"/>
        <v>4.0934493568262891</v>
      </c>
    </row>
    <row r="57" spans="1:21" x14ac:dyDescent="0.2">
      <c r="A57" s="2" t="s">
        <v>22</v>
      </c>
      <c r="B57">
        <v>1805.1666666666667</v>
      </c>
      <c r="C57">
        <v>9245.8333333333339</v>
      </c>
      <c r="D57">
        <v>11272.5</v>
      </c>
      <c r="E57">
        <v>8511.6666666666661</v>
      </c>
      <c r="F57">
        <f t="shared" si="21"/>
        <v>5.1218724032868623</v>
      </c>
      <c r="G57">
        <f t="shared" si="22"/>
        <v>6.2445757547779523</v>
      </c>
      <c r="H57" s="3">
        <f t="shared" si="23"/>
        <v>4.7151694211060837</v>
      </c>
      <c r="J57" s="2" t="s">
        <v>24</v>
      </c>
      <c r="K57">
        <v>1</v>
      </c>
      <c r="L57" t="s">
        <v>149</v>
      </c>
      <c r="M57" t="s">
        <v>152</v>
      </c>
      <c r="N57" t="s">
        <v>155</v>
      </c>
      <c r="O57">
        <v>6458</v>
      </c>
      <c r="P57">
        <v>31449.666666666668</v>
      </c>
      <c r="Q57">
        <v>43863</v>
      </c>
      <c r="R57">
        <v>33338</v>
      </c>
      <c r="S57">
        <f t="shared" si="18"/>
        <v>4.8698771549499327</v>
      </c>
      <c r="T57">
        <f t="shared" si="19"/>
        <v>6.7920408795292664</v>
      </c>
      <c r="U57" s="3">
        <f t="shared" si="20"/>
        <v>5.1622793434499847</v>
      </c>
    </row>
    <row r="58" spans="1:21" x14ac:dyDescent="0.2">
      <c r="A58" s="2" t="s">
        <v>23</v>
      </c>
      <c r="B58">
        <v>6167.333333333333</v>
      </c>
      <c r="C58">
        <v>25542</v>
      </c>
      <c r="D58">
        <v>35057</v>
      </c>
      <c r="E58">
        <v>25245.666666666668</v>
      </c>
      <c r="F58">
        <f t="shared" si="21"/>
        <v>4.1414982164090368</v>
      </c>
      <c r="G58">
        <f t="shared" si="22"/>
        <v>5.6843043995243763</v>
      </c>
      <c r="H58" s="3">
        <f t="shared" si="23"/>
        <v>4.0934493568262891</v>
      </c>
      <c r="J58" s="2" t="s">
        <v>102</v>
      </c>
      <c r="K58">
        <v>1</v>
      </c>
      <c r="L58" t="s">
        <v>149</v>
      </c>
      <c r="M58" t="s">
        <v>152</v>
      </c>
      <c r="N58" t="s">
        <v>155</v>
      </c>
      <c r="O58">
        <v>4612</v>
      </c>
      <c r="P58">
        <v>14307</v>
      </c>
      <c r="Q58">
        <v>22031</v>
      </c>
      <c r="R58">
        <v>16933</v>
      </c>
      <c r="S58">
        <f t="shared" si="18"/>
        <v>3.102124891587164</v>
      </c>
      <c r="T58">
        <f t="shared" si="19"/>
        <v>4.7768863833477884</v>
      </c>
      <c r="U58" s="3">
        <f t="shared" si="20"/>
        <v>3.6715091066782306</v>
      </c>
    </row>
    <row r="59" spans="1:21" ht="17" thickBot="1" x14ac:dyDescent="0.25">
      <c r="A59" s="2" t="s">
        <v>24</v>
      </c>
      <c r="B59">
        <v>6458</v>
      </c>
      <c r="C59">
        <v>31449.666666666668</v>
      </c>
      <c r="D59">
        <v>43863</v>
      </c>
      <c r="E59">
        <v>33338</v>
      </c>
      <c r="F59">
        <f t="shared" si="21"/>
        <v>4.8698771549499327</v>
      </c>
      <c r="G59">
        <f t="shared" si="22"/>
        <v>6.7920408795292664</v>
      </c>
      <c r="H59" s="3">
        <f t="shared" si="23"/>
        <v>5.1622793434499847</v>
      </c>
      <c r="J59" s="4" t="s">
        <v>103</v>
      </c>
      <c r="K59" s="5">
        <v>1</v>
      </c>
      <c r="L59" s="5" t="s">
        <v>149</v>
      </c>
      <c r="M59" s="5" t="s">
        <v>152</v>
      </c>
      <c r="N59" s="5" t="s">
        <v>155</v>
      </c>
      <c r="O59" s="5">
        <v>6338.666666666667</v>
      </c>
      <c r="P59" s="5">
        <v>26090.333333333332</v>
      </c>
      <c r="Q59" s="5">
        <v>34879.333333333336</v>
      </c>
      <c r="R59" s="5">
        <v>25615.333333333332</v>
      </c>
      <c r="S59" s="5">
        <f t="shared" si="18"/>
        <v>4.1160601598653761</v>
      </c>
      <c r="T59" s="5">
        <f t="shared" si="19"/>
        <v>5.502629364745478</v>
      </c>
      <c r="U59" s="41">
        <f t="shared" si="20"/>
        <v>4.0411232646192676</v>
      </c>
    </row>
    <row r="60" spans="1:21" x14ac:dyDescent="0.2">
      <c r="A60" s="2" t="s">
        <v>102</v>
      </c>
      <c r="B60">
        <v>4612</v>
      </c>
      <c r="C60">
        <v>14307</v>
      </c>
      <c r="D60">
        <v>22031</v>
      </c>
      <c r="E60">
        <v>16933</v>
      </c>
      <c r="F60">
        <f t="shared" si="21"/>
        <v>3.102124891587164</v>
      </c>
      <c r="G60">
        <f t="shared" si="22"/>
        <v>4.7768863833477884</v>
      </c>
      <c r="H60" s="3">
        <f t="shared" si="23"/>
        <v>3.6715091066782306</v>
      </c>
    </row>
    <row r="61" spans="1:21" ht="17" thickBot="1" x14ac:dyDescent="0.25">
      <c r="A61" s="4" t="s">
        <v>103</v>
      </c>
      <c r="B61" s="5">
        <v>6338.666666666667</v>
      </c>
      <c r="C61" s="5">
        <v>26090.333333333332</v>
      </c>
      <c r="D61" s="5">
        <v>34879.333333333336</v>
      </c>
      <c r="E61" s="5">
        <v>25615.333333333332</v>
      </c>
      <c r="F61" s="5">
        <f t="shared" si="21"/>
        <v>4.1160601598653761</v>
      </c>
      <c r="G61" s="5">
        <f t="shared" si="22"/>
        <v>5.502629364745478</v>
      </c>
      <c r="H61" s="41">
        <f t="shared" si="23"/>
        <v>4.0411232646192676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535C-50EC-1747-AE34-74A0C7E70AF3}">
  <dimension ref="A1:U61"/>
  <sheetViews>
    <sheetView topLeftCell="G21" workbookViewId="0">
      <selection activeCell="J39" sqref="J39:U59"/>
    </sheetView>
  </sheetViews>
  <sheetFormatPr baseColWidth="10" defaultColWidth="11" defaultRowHeight="16" x14ac:dyDescent="0.2"/>
  <sheetData>
    <row r="1" spans="1:21" ht="47" x14ac:dyDescent="0.55000000000000004">
      <c r="A1" s="38" t="s">
        <v>110</v>
      </c>
      <c r="J1" s="42" t="s">
        <v>139</v>
      </c>
      <c r="K1" s="42"/>
      <c r="L1" s="42"/>
      <c r="M1" s="42"/>
      <c r="N1" s="42"/>
    </row>
    <row r="2" spans="1:21" ht="17" thickBot="1" x14ac:dyDescent="0.25">
      <c r="A2" t="s">
        <v>0</v>
      </c>
    </row>
    <row r="3" spans="1:21" ht="17" thickBot="1" x14ac:dyDescent="0.25">
      <c r="A3" s="6" t="s">
        <v>1</v>
      </c>
      <c r="B3" s="7" t="s">
        <v>32</v>
      </c>
      <c r="C3" s="7" t="s">
        <v>87</v>
      </c>
      <c r="D3" s="7" t="s">
        <v>88</v>
      </c>
      <c r="E3" s="7" t="s">
        <v>89</v>
      </c>
      <c r="F3" s="7" t="s">
        <v>37</v>
      </c>
      <c r="G3" s="7" t="s">
        <v>38</v>
      </c>
      <c r="H3" s="8" t="s">
        <v>39</v>
      </c>
      <c r="J3" s="6" t="s">
        <v>1</v>
      </c>
      <c r="K3" s="7" t="s">
        <v>141</v>
      </c>
      <c r="L3" s="7" t="s">
        <v>142</v>
      </c>
      <c r="M3" s="7" t="s">
        <v>143</v>
      </c>
      <c r="N3" s="7" t="s">
        <v>144</v>
      </c>
      <c r="O3" s="7" t="s">
        <v>32</v>
      </c>
      <c r="P3" s="7" t="s">
        <v>87</v>
      </c>
      <c r="Q3" s="7" t="s">
        <v>88</v>
      </c>
      <c r="R3" s="7" t="s">
        <v>89</v>
      </c>
      <c r="S3" s="7" t="s">
        <v>37</v>
      </c>
      <c r="T3" s="7" t="s">
        <v>38</v>
      </c>
      <c r="U3" s="8" t="s">
        <v>39</v>
      </c>
    </row>
    <row r="4" spans="1:21" x14ac:dyDescent="0.2">
      <c r="A4" s="2" t="s">
        <v>93</v>
      </c>
      <c r="B4">
        <v>2640.666667</v>
      </c>
      <c r="C4">
        <v>7953</v>
      </c>
      <c r="D4">
        <v>7137.3333329999996</v>
      </c>
      <c r="E4">
        <v>5409.3333329999996</v>
      </c>
      <c r="F4" s="29">
        <f>C4/B4</f>
        <v>3.0117394593522167</v>
      </c>
      <c r="G4" s="29">
        <f>D4/B4</f>
        <v>2.7028528144783066</v>
      </c>
      <c r="H4" s="37">
        <f>E4/B4</f>
        <v>2.0484726075424802</v>
      </c>
      <c r="J4" s="36" t="s">
        <v>93</v>
      </c>
      <c r="K4" s="29">
        <v>1</v>
      </c>
      <c r="L4" s="29" t="s">
        <v>145</v>
      </c>
      <c r="M4" s="29" t="s">
        <v>151</v>
      </c>
      <c r="N4" s="29" t="s">
        <v>154</v>
      </c>
      <c r="O4" s="29">
        <v>2640.666667</v>
      </c>
      <c r="P4" s="29">
        <v>7953</v>
      </c>
      <c r="Q4" s="29">
        <v>7137.3333329999996</v>
      </c>
      <c r="R4" s="29">
        <v>5409.3333329999996</v>
      </c>
      <c r="S4" s="29">
        <f>P4/O4</f>
        <v>3.0117394593522167</v>
      </c>
      <c r="T4" s="29">
        <f>Q4/O4</f>
        <v>2.7028528144783066</v>
      </c>
      <c r="U4" s="37">
        <f>R4/O4</f>
        <v>2.0484726075424802</v>
      </c>
    </row>
    <row r="5" spans="1:21" x14ac:dyDescent="0.2">
      <c r="A5" s="2" t="s">
        <v>2</v>
      </c>
      <c r="B5">
        <v>2342.666667</v>
      </c>
      <c r="C5">
        <v>10002</v>
      </c>
      <c r="D5">
        <v>7767.6666670000004</v>
      </c>
      <c r="E5">
        <v>5717</v>
      </c>
      <c r="F5">
        <f t="shared" ref="F5:F18" si="0">C5/B5</f>
        <v>4.2694934541449214</v>
      </c>
      <c r="G5">
        <f t="shared" ref="G5:G18" si="1">D5/B5</f>
        <v>3.3157370514633273</v>
      </c>
      <c r="H5" s="3">
        <f t="shared" ref="H5:H18" si="2">E5/B5</f>
        <v>2.440381331468358</v>
      </c>
      <c r="J5" s="2" t="s">
        <v>2</v>
      </c>
      <c r="K5">
        <v>1</v>
      </c>
      <c r="L5" t="s">
        <v>145</v>
      </c>
      <c r="M5" t="s">
        <v>151</v>
      </c>
      <c r="N5" t="s">
        <v>154</v>
      </c>
      <c r="O5">
        <v>2342.666667</v>
      </c>
      <c r="P5">
        <v>10002</v>
      </c>
      <c r="Q5">
        <v>7767.6666670000004</v>
      </c>
      <c r="R5">
        <v>5717</v>
      </c>
      <c r="S5">
        <f t="shared" ref="S5:S18" si="3">P5/O5</f>
        <v>4.2694934541449214</v>
      </c>
      <c r="T5">
        <f t="shared" ref="T5:T18" si="4">Q5/O5</f>
        <v>3.3157370514633273</v>
      </c>
      <c r="U5" s="3">
        <f t="shared" ref="U5:U18" si="5">R5/O5</f>
        <v>2.440381331468358</v>
      </c>
    </row>
    <row r="6" spans="1:21" x14ac:dyDescent="0.2">
      <c r="A6" s="2" t="s">
        <v>3</v>
      </c>
      <c r="B6">
        <v>2970.333333</v>
      </c>
      <c r="C6">
        <v>14238.333329999999</v>
      </c>
      <c r="D6">
        <v>7917.6666670000004</v>
      </c>
      <c r="E6">
        <v>8527</v>
      </c>
      <c r="F6">
        <f t="shared" si="0"/>
        <v>4.7935136342490754</v>
      </c>
      <c r="G6">
        <f t="shared" si="1"/>
        <v>2.6655818655218924</v>
      </c>
      <c r="H6" s="3">
        <f t="shared" si="2"/>
        <v>2.8707215803917316</v>
      </c>
      <c r="J6" s="2" t="s">
        <v>3</v>
      </c>
      <c r="K6">
        <v>1</v>
      </c>
      <c r="L6" t="s">
        <v>145</v>
      </c>
      <c r="M6" t="s">
        <v>151</v>
      </c>
      <c r="N6" t="s">
        <v>154</v>
      </c>
      <c r="O6">
        <v>2970.333333</v>
      </c>
      <c r="P6">
        <v>14238.333329999999</v>
      </c>
      <c r="Q6">
        <v>7917.6666670000004</v>
      </c>
      <c r="R6">
        <v>8527</v>
      </c>
      <c r="S6">
        <f t="shared" si="3"/>
        <v>4.7935136342490754</v>
      </c>
      <c r="T6">
        <f t="shared" si="4"/>
        <v>2.6655818655218924</v>
      </c>
      <c r="U6" s="3">
        <f t="shared" si="5"/>
        <v>2.8707215803917316</v>
      </c>
    </row>
    <row r="7" spans="1:21" x14ac:dyDescent="0.2">
      <c r="A7" s="23" t="s">
        <v>94</v>
      </c>
      <c r="B7" s="24">
        <v>6246.333333333333</v>
      </c>
      <c r="C7" s="24">
        <v>38196.333333333336</v>
      </c>
      <c r="D7" s="24">
        <v>15349.333333333334</v>
      </c>
      <c r="E7" s="24">
        <v>31684.666666666668</v>
      </c>
      <c r="F7" s="24">
        <f t="shared" si="0"/>
        <v>6.1150008004696099</v>
      </c>
      <c r="G7" s="24">
        <f t="shared" si="1"/>
        <v>2.4573349698489784</v>
      </c>
      <c r="H7" s="25">
        <f t="shared" si="2"/>
        <v>5.0725225465606494</v>
      </c>
      <c r="J7" s="23" t="s">
        <v>94</v>
      </c>
      <c r="K7" s="24">
        <v>2</v>
      </c>
      <c r="L7" s="24" t="s">
        <v>145</v>
      </c>
      <c r="M7" s="24" t="s">
        <v>151</v>
      </c>
      <c r="N7" s="24" t="s">
        <v>154</v>
      </c>
      <c r="O7" s="24">
        <v>6246.333333333333</v>
      </c>
      <c r="P7" s="24">
        <v>38196.333333333336</v>
      </c>
      <c r="Q7" s="24">
        <v>15349.333333333334</v>
      </c>
      <c r="R7" s="24">
        <v>31684.666666666668</v>
      </c>
      <c r="S7" s="24">
        <f t="shared" si="3"/>
        <v>6.1150008004696099</v>
      </c>
      <c r="T7" s="24">
        <f t="shared" si="4"/>
        <v>2.4573349698489784</v>
      </c>
      <c r="U7" s="25">
        <f t="shared" si="5"/>
        <v>5.0725225465606494</v>
      </c>
    </row>
    <row r="8" spans="1:21" x14ac:dyDescent="0.2">
      <c r="A8" s="23" t="s">
        <v>95</v>
      </c>
      <c r="B8" s="24">
        <v>5828.666666666667</v>
      </c>
      <c r="C8" s="24">
        <v>35252.666666666664</v>
      </c>
      <c r="D8" s="24">
        <v>28659.333333333332</v>
      </c>
      <c r="E8" s="24">
        <v>42398.333333333336</v>
      </c>
      <c r="F8" s="24">
        <f t="shared" si="0"/>
        <v>6.0481528079606539</v>
      </c>
      <c r="G8" s="24">
        <f t="shared" si="1"/>
        <v>4.9169621411414841</v>
      </c>
      <c r="H8" s="25">
        <f t="shared" si="2"/>
        <v>7.2741049982843418</v>
      </c>
      <c r="J8" s="23" t="s">
        <v>95</v>
      </c>
      <c r="K8" s="24">
        <v>2</v>
      </c>
      <c r="L8" s="24" t="s">
        <v>145</v>
      </c>
      <c r="M8" s="24" t="s">
        <v>151</v>
      </c>
      <c r="N8" s="24" t="s">
        <v>154</v>
      </c>
      <c r="O8" s="24">
        <v>5828.666666666667</v>
      </c>
      <c r="P8" s="24">
        <v>35252.666666666664</v>
      </c>
      <c r="Q8" s="24">
        <v>28659.333333333332</v>
      </c>
      <c r="R8" s="24">
        <v>42398.333333333336</v>
      </c>
      <c r="S8" s="24">
        <f t="shared" si="3"/>
        <v>6.0481528079606539</v>
      </c>
      <c r="T8" s="24">
        <f t="shared" si="4"/>
        <v>4.9169621411414841</v>
      </c>
      <c r="U8" s="25">
        <f t="shared" si="5"/>
        <v>7.2741049982843418</v>
      </c>
    </row>
    <row r="9" spans="1:21" x14ac:dyDescent="0.2">
      <c r="A9" s="2" t="s">
        <v>7</v>
      </c>
      <c r="B9">
        <v>4055.666667</v>
      </c>
      <c r="C9">
        <v>26330.666669999999</v>
      </c>
      <c r="D9">
        <v>21124.333330000001</v>
      </c>
      <c r="E9">
        <v>14937.666670000001</v>
      </c>
      <c r="F9">
        <f t="shared" si="0"/>
        <v>6.4923152793217458</v>
      </c>
      <c r="G9">
        <f t="shared" si="1"/>
        <v>5.2085970234890615</v>
      </c>
      <c r="H9" s="3">
        <f t="shared" si="2"/>
        <v>3.6831593660160142</v>
      </c>
      <c r="J9" s="2" t="s">
        <v>7</v>
      </c>
      <c r="K9">
        <v>1</v>
      </c>
      <c r="L9" t="s">
        <v>146</v>
      </c>
      <c r="M9" t="s">
        <v>152</v>
      </c>
      <c r="N9" t="s">
        <v>154</v>
      </c>
      <c r="O9">
        <v>4055.666667</v>
      </c>
      <c r="P9">
        <v>26330.666669999999</v>
      </c>
      <c r="Q9">
        <v>21124.333330000001</v>
      </c>
      <c r="R9">
        <v>14937.666670000001</v>
      </c>
      <c r="S9">
        <f t="shared" si="3"/>
        <v>6.4923152793217458</v>
      </c>
      <c r="T9">
        <f t="shared" si="4"/>
        <v>5.2085970234890615</v>
      </c>
      <c r="U9" s="3">
        <f t="shared" si="5"/>
        <v>3.6831593660160142</v>
      </c>
    </row>
    <row r="10" spans="1:21" x14ac:dyDescent="0.2">
      <c r="A10" s="2" t="s">
        <v>8</v>
      </c>
      <c r="B10">
        <v>5226.6666670000004</v>
      </c>
      <c r="C10">
        <v>25007</v>
      </c>
      <c r="D10">
        <v>22862.666669999999</v>
      </c>
      <c r="E10">
        <v>12142.333329999999</v>
      </c>
      <c r="F10">
        <f t="shared" si="0"/>
        <v>4.7845025507152741</v>
      </c>
      <c r="G10">
        <f t="shared" si="1"/>
        <v>4.3742346942363364</v>
      </c>
      <c r="H10" s="3">
        <f t="shared" si="2"/>
        <v>2.3231505094181659</v>
      </c>
      <c r="J10" s="2" t="s">
        <v>8</v>
      </c>
      <c r="K10">
        <v>1</v>
      </c>
      <c r="L10" t="s">
        <v>146</v>
      </c>
      <c r="M10" t="s">
        <v>152</v>
      </c>
      <c r="N10" t="s">
        <v>154</v>
      </c>
      <c r="O10">
        <v>5226.6666670000004</v>
      </c>
      <c r="P10">
        <v>25007</v>
      </c>
      <c r="Q10">
        <v>22862.666669999999</v>
      </c>
      <c r="R10">
        <v>12142.333329999999</v>
      </c>
      <c r="S10">
        <f t="shared" si="3"/>
        <v>4.7845025507152741</v>
      </c>
      <c r="T10">
        <f t="shared" si="4"/>
        <v>4.3742346942363364</v>
      </c>
      <c r="U10" s="3">
        <f t="shared" si="5"/>
        <v>2.3231505094181659</v>
      </c>
    </row>
    <row r="11" spans="1:21" x14ac:dyDescent="0.2">
      <c r="A11" s="2" t="s">
        <v>9</v>
      </c>
      <c r="B11">
        <v>5387</v>
      </c>
      <c r="C11">
        <v>19758</v>
      </c>
      <c r="D11">
        <v>15413.333329999999</v>
      </c>
      <c r="E11">
        <v>18333.333330000001</v>
      </c>
      <c r="F11">
        <f t="shared" si="0"/>
        <v>3.6677185817709299</v>
      </c>
      <c r="G11">
        <f t="shared" si="1"/>
        <v>2.8612090829775383</v>
      </c>
      <c r="H11" s="3">
        <f t="shared" si="2"/>
        <v>3.4032547484685356</v>
      </c>
      <c r="J11" s="2" t="s">
        <v>9</v>
      </c>
      <c r="K11">
        <v>1</v>
      </c>
      <c r="L11" t="s">
        <v>146</v>
      </c>
      <c r="M11" t="s">
        <v>152</v>
      </c>
      <c r="N11" t="s">
        <v>154</v>
      </c>
      <c r="O11">
        <v>5387</v>
      </c>
      <c r="P11">
        <v>19758</v>
      </c>
      <c r="Q11">
        <v>15413.333329999999</v>
      </c>
      <c r="R11">
        <v>18333.333330000001</v>
      </c>
      <c r="S11">
        <f t="shared" si="3"/>
        <v>3.6677185817709299</v>
      </c>
      <c r="T11">
        <f t="shared" si="4"/>
        <v>2.8612090829775383</v>
      </c>
      <c r="U11" s="3">
        <f t="shared" si="5"/>
        <v>3.4032547484685356</v>
      </c>
    </row>
    <row r="12" spans="1:21" x14ac:dyDescent="0.2">
      <c r="A12" s="23" t="s">
        <v>96</v>
      </c>
      <c r="B12" s="24">
        <v>5723</v>
      </c>
      <c r="C12" s="24">
        <v>52344</v>
      </c>
      <c r="D12" s="24">
        <v>49584</v>
      </c>
      <c r="E12" s="24">
        <v>49072</v>
      </c>
      <c r="F12" s="24">
        <f t="shared" si="0"/>
        <v>9.1462519657522279</v>
      </c>
      <c r="G12" s="24">
        <f t="shared" si="1"/>
        <v>8.6639874191857409</v>
      </c>
      <c r="H12" s="25">
        <f t="shared" si="2"/>
        <v>8.5745238511270312</v>
      </c>
      <c r="J12" s="23" t="s">
        <v>96</v>
      </c>
      <c r="K12" s="24">
        <v>2</v>
      </c>
      <c r="L12" s="24" t="s">
        <v>146</v>
      </c>
      <c r="M12" s="24" t="s">
        <v>152</v>
      </c>
      <c r="N12" s="24" t="s">
        <v>154</v>
      </c>
      <c r="O12" s="24">
        <v>5723</v>
      </c>
      <c r="P12" s="24">
        <v>52344</v>
      </c>
      <c r="Q12" s="24">
        <v>49584</v>
      </c>
      <c r="R12" s="24">
        <v>49072</v>
      </c>
      <c r="S12" s="24">
        <f t="shared" si="3"/>
        <v>9.1462519657522279</v>
      </c>
      <c r="T12" s="24">
        <f t="shared" si="4"/>
        <v>8.6639874191857409</v>
      </c>
      <c r="U12" s="25">
        <f t="shared" si="5"/>
        <v>8.5745238511270312</v>
      </c>
    </row>
    <row r="13" spans="1:21" x14ac:dyDescent="0.2">
      <c r="A13" s="23" t="s">
        <v>97</v>
      </c>
      <c r="B13" s="24">
        <v>6989.333333333333</v>
      </c>
      <c r="C13" s="24">
        <v>29219</v>
      </c>
      <c r="D13" s="24">
        <v>29615.333333333332</v>
      </c>
      <c r="E13" s="24">
        <v>36429.333333333336</v>
      </c>
      <c r="F13" s="24">
        <f t="shared" si="0"/>
        <v>4.1805131629149184</v>
      </c>
      <c r="G13" s="24">
        <f t="shared" si="1"/>
        <v>4.2372186188477681</v>
      </c>
      <c r="H13" s="25">
        <f t="shared" si="2"/>
        <v>5.2121327737504775</v>
      </c>
      <c r="J13" s="23" t="s">
        <v>97</v>
      </c>
      <c r="K13" s="24">
        <v>2</v>
      </c>
      <c r="L13" s="24" t="s">
        <v>146</v>
      </c>
      <c r="M13" s="24" t="s">
        <v>152</v>
      </c>
      <c r="N13" s="24" t="s">
        <v>154</v>
      </c>
      <c r="O13" s="24">
        <v>6989.333333333333</v>
      </c>
      <c r="P13" s="24">
        <v>29219</v>
      </c>
      <c r="Q13" s="24">
        <v>29615.333333333332</v>
      </c>
      <c r="R13" s="24">
        <v>36429.333333333336</v>
      </c>
      <c r="S13" s="24">
        <f t="shared" si="3"/>
        <v>4.1805131629149184</v>
      </c>
      <c r="T13" s="24">
        <f t="shared" si="4"/>
        <v>4.2372186188477681</v>
      </c>
      <c r="U13" s="25">
        <f t="shared" si="5"/>
        <v>5.2121327737504775</v>
      </c>
    </row>
    <row r="14" spans="1:21" x14ac:dyDescent="0.2">
      <c r="A14" s="2" t="s">
        <v>12</v>
      </c>
      <c r="B14">
        <v>2451</v>
      </c>
      <c r="C14">
        <v>15151</v>
      </c>
      <c r="D14">
        <v>16505.666669999999</v>
      </c>
      <c r="E14">
        <v>12831</v>
      </c>
      <c r="F14">
        <f t="shared" si="0"/>
        <v>6.1815585475316199</v>
      </c>
      <c r="G14">
        <f t="shared" si="1"/>
        <v>6.7342581272949813</v>
      </c>
      <c r="H14" s="3">
        <f t="shared" si="2"/>
        <v>5.2350061199510405</v>
      </c>
      <c r="J14" s="2" t="s">
        <v>12</v>
      </c>
      <c r="K14">
        <v>1</v>
      </c>
      <c r="L14" t="s">
        <v>147</v>
      </c>
      <c r="M14" t="s">
        <v>153</v>
      </c>
      <c r="N14" t="s">
        <v>154</v>
      </c>
      <c r="O14">
        <v>2451</v>
      </c>
      <c r="P14">
        <v>15151</v>
      </c>
      <c r="Q14">
        <v>16505.666669999999</v>
      </c>
      <c r="R14">
        <v>12831</v>
      </c>
      <c r="S14">
        <f t="shared" si="3"/>
        <v>6.1815585475316199</v>
      </c>
      <c r="T14">
        <f t="shared" si="4"/>
        <v>6.7342581272949813</v>
      </c>
      <c r="U14" s="3">
        <f t="shared" si="5"/>
        <v>5.2350061199510405</v>
      </c>
    </row>
    <row r="15" spans="1:21" x14ac:dyDescent="0.2">
      <c r="A15" s="2" t="s">
        <v>13</v>
      </c>
      <c r="B15">
        <v>2391.333333</v>
      </c>
      <c r="C15">
        <v>16276.666670000001</v>
      </c>
      <c r="D15">
        <v>16843.666669999999</v>
      </c>
      <c r="E15">
        <v>15036.333329999999</v>
      </c>
      <c r="F15">
        <f t="shared" si="0"/>
        <v>6.8065235596329137</v>
      </c>
      <c r="G15">
        <f t="shared" si="1"/>
        <v>7.0436297765603042</v>
      </c>
      <c r="H15" s="3">
        <f t="shared" si="2"/>
        <v>6.2878449953007864</v>
      </c>
      <c r="J15" s="2" t="s">
        <v>13</v>
      </c>
      <c r="K15">
        <v>1</v>
      </c>
      <c r="L15" t="s">
        <v>147</v>
      </c>
      <c r="M15" t="s">
        <v>153</v>
      </c>
      <c r="N15" t="s">
        <v>154</v>
      </c>
      <c r="O15">
        <v>2391.333333</v>
      </c>
      <c r="P15">
        <v>16276.666670000001</v>
      </c>
      <c r="Q15">
        <v>16843.666669999999</v>
      </c>
      <c r="R15">
        <v>15036.333329999999</v>
      </c>
      <c r="S15">
        <f t="shared" si="3"/>
        <v>6.8065235596329137</v>
      </c>
      <c r="T15">
        <f t="shared" si="4"/>
        <v>7.0436297765603042</v>
      </c>
      <c r="U15" s="3">
        <f t="shared" si="5"/>
        <v>6.2878449953007864</v>
      </c>
    </row>
    <row r="16" spans="1:21" x14ac:dyDescent="0.2">
      <c r="A16" s="2" t="s">
        <v>14</v>
      </c>
      <c r="B16">
        <v>1506</v>
      </c>
      <c r="C16">
        <v>16719.333330000001</v>
      </c>
      <c r="D16">
        <v>15000.666670000001</v>
      </c>
      <c r="E16">
        <v>10791.333329999999</v>
      </c>
      <c r="F16">
        <f t="shared" si="0"/>
        <v>11.101814960159363</v>
      </c>
      <c r="G16">
        <f t="shared" si="1"/>
        <v>9.9606020385126168</v>
      </c>
      <c r="H16" s="3">
        <f t="shared" si="2"/>
        <v>7.1655599800796805</v>
      </c>
      <c r="J16" s="2" t="s">
        <v>14</v>
      </c>
      <c r="K16">
        <v>1</v>
      </c>
      <c r="L16" t="s">
        <v>147</v>
      </c>
      <c r="M16" t="s">
        <v>153</v>
      </c>
      <c r="N16" t="s">
        <v>154</v>
      </c>
      <c r="O16">
        <v>1506</v>
      </c>
      <c r="P16">
        <v>16719.333330000001</v>
      </c>
      <c r="Q16">
        <v>15000.666670000001</v>
      </c>
      <c r="R16">
        <v>10791.333329999999</v>
      </c>
      <c r="S16">
        <f t="shared" si="3"/>
        <v>11.101814960159363</v>
      </c>
      <c r="T16">
        <f t="shared" si="4"/>
        <v>9.9606020385126168</v>
      </c>
      <c r="U16" s="3">
        <f t="shared" si="5"/>
        <v>7.1655599800796805</v>
      </c>
    </row>
    <row r="17" spans="1:21" x14ac:dyDescent="0.2">
      <c r="A17" s="23" t="s">
        <v>98</v>
      </c>
      <c r="B17" s="24">
        <v>6124.666666666667</v>
      </c>
      <c r="C17" s="24">
        <v>62021</v>
      </c>
      <c r="D17" s="24">
        <v>59587.666666666664</v>
      </c>
      <c r="E17" s="24">
        <v>50344.333333333336</v>
      </c>
      <c r="F17" s="24">
        <f t="shared" si="0"/>
        <v>10.126428649178186</v>
      </c>
      <c r="G17" s="24">
        <f t="shared" si="1"/>
        <v>9.7291281158158256</v>
      </c>
      <c r="H17" s="25">
        <f t="shared" si="2"/>
        <v>8.2199303363448344</v>
      </c>
      <c r="J17" s="23" t="s">
        <v>98</v>
      </c>
      <c r="K17" s="24">
        <v>2</v>
      </c>
      <c r="L17" s="24" t="s">
        <v>147</v>
      </c>
      <c r="M17" s="24" t="s">
        <v>153</v>
      </c>
      <c r="N17" s="24" t="s">
        <v>154</v>
      </c>
      <c r="O17" s="24">
        <v>6124.666666666667</v>
      </c>
      <c r="P17" s="24">
        <v>62021</v>
      </c>
      <c r="Q17" s="24">
        <v>59587.666666666664</v>
      </c>
      <c r="R17" s="24">
        <v>50344.333333333336</v>
      </c>
      <c r="S17" s="24">
        <f t="shared" si="3"/>
        <v>10.126428649178186</v>
      </c>
      <c r="T17" s="24">
        <f t="shared" si="4"/>
        <v>9.7291281158158256</v>
      </c>
      <c r="U17" s="25">
        <f t="shared" si="5"/>
        <v>8.2199303363448344</v>
      </c>
    </row>
    <row r="18" spans="1:21" ht="17" thickBot="1" x14ac:dyDescent="0.25">
      <c r="A18" s="23" t="s">
        <v>99</v>
      </c>
      <c r="B18" s="27">
        <v>5528</v>
      </c>
      <c r="C18" s="27">
        <v>50881</v>
      </c>
      <c r="D18" s="27">
        <v>58482.666666666664</v>
      </c>
      <c r="E18" s="27">
        <v>50886</v>
      </c>
      <c r="F18" s="27">
        <f t="shared" si="0"/>
        <v>9.2042329956584652</v>
      </c>
      <c r="G18" s="27">
        <f t="shared" si="1"/>
        <v>10.579353593825374</v>
      </c>
      <c r="H18" s="28">
        <f t="shared" si="2"/>
        <v>9.2051374819102758</v>
      </c>
      <c r="J18" s="26" t="s">
        <v>99</v>
      </c>
      <c r="K18" s="27">
        <v>2</v>
      </c>
      <c r="L18" s="27" t="s">
        <v>147</v>
      </c>
      <c r="M18" s="27" t="s">
        <v>153</v>
      </c>
      <c r="N18" s="27" t="s">
        <v>154</v>
      </c>
      <c r="O18" s="27">
        <v>5528</v>
      </c>
      <c r="P18" s="27">
        <v>50881</v>
      </c>
      <c r="Q18" s="27">
        <v>58482.666666666664</v>
      </c>
      <c r="R18" s="27">
        <v>50886</v>
      </c>
      <c r="S18" s="27">
        <f t="shared" si="3"/>
        <v>9.2042329956584652</v>
      </c>
      <c r="T18" s="27">
        <f t="shared" si="4"/>
        <v>10.579353593825374</v>
      </c>
      <c r="U18" s="28">
        <f t="shared" si="5"/>
        <v>9.2051374819102758</v>
      </c>
    </row>
    <row r="19" spans="1:21" ht="17" thickBot="1" x14ac:dyDescent="0.25">
      <c r="A19" s="2"/>
      <c r="H19" s="3"/>
      <c r="J19" s="36" t="s">
        <v>17</v>
      </c>
      <c r="K19" s="29">
        <v>1</v>
      </c>
      <c r="L19" s="29" t="s">
        <v>148</v>
      </c>
      <c r="M19" s="29" t="s">
        <v>151</v>
      </c>
      <c r="N19" s="29" t="s">
        <v>155</v>
      </c>
      <c r="O19" s="29">
        <v>4228</v>
      </c>
      <c r="P19" s="29">
        <v>9579.3333330000005</v>
      </c>
      <c r="Q19" s="29">
        <v>6367</v>
      </c>
      <c r="R19" s="29">
        <v>8225.6666669999995</v>
      </c>
      <c r="S19" s="29">
        <f>P19/O19</f>
        <v>2.2656890570009462</v>
      </c>
      <c r="T19" s="29">
        <f>Q19/O19</f>
        <v>1.5059129612109745</v>
      </c>
      <c r="U19" s="37">
        <f>R19/O19</f>
        <v>1.9455219174550613</v>
      </c>
    </row>
    <row r="20" spans="1:21" ht="17" thickBot="1" x14ac:dyDescent="0.25">
      <c r="A20" s="36" t="s">
        <v>1</v>
      </c>
      <c r="B20" s="29" t="s">
        <v>32</v>
      </c>
      <c r="C20" s="29" t="s">
        <v>87</v>
      </c>
      <c r="D20" s="29" t="s">
        <v>88</v>
      </c>
      <c r="E20" s="29" t="s">
        <v>89</v>
      </c>
      <c r="F20" s="29" t="s">
        <v>90</v>
      </c>
      <c r="G20" s="29" t="s">
        <v>91</v>
      </c>
      <c r="H20" s="37" t="s">
        <v>92</v>
      </c>
      <c r="J20" s="2" t="s">
        <v>18</v>
      </c>
      <c r="K20">
        <v>1</v>
      </c>
      <c r="L20" t="s">
        <v>148</v>
      </c>
      <c r="M20" t="s">
        <v>151</v>
      </c>
      <c r="N20" t="s">
        <v>155</v>
      </c>
      <c r="O20">
        <v>4026</v>
      </c>
      <c r="P20">
        <v>15634.666670000001</v>
      </c>
      <c r="Q20">
        <v>8372.6666669999995</v>
      </c>
      <c r="R20">
        <v>7863.3333329999996</v>
      </c>
      <c r="S20">
        <f t="shared" ref="S20:S33" si="6">P20/O20</f>
        <v>3.8834244088425236</v>
      </c>
      <c r="T20">
        <f t="shared" ref="T20:T33" si="7">Q20/O20</f>
        <v>2.0796489485842025</v>
      </c>
      <c r="U20" s="3">
        <f t="shared" ref="U20:U33" si="8">R20/O20</f>
        <v>1.9531379366616988</v>
      </c>
    </row>
    <row r="21" spans="1:21" x14ac:dyDescent="0.2">
      <c r="A21" s="36" t="s">
        <v>17</v>
      </c>
      <c r="B21" s="29">
        <v>4228</v>
      </c>
      <c r="C21" s="29">
        <v>9579.3333330000005</v>
      </c>
      <c r="D21" s="29">
        <v>6367</v>
      </c>
      <c r="E21" s="29">
        <v>8225.6666669999995</v>
      </c>
      <c r="F21" s="29">
        <f>C21/B21</f>
        <v>2.2656890570009462</v>
      </c>
      <c r="G21" s="29">
        <f>D21/B21</f>
        <v>1.5059129612109745</v>
      </c>
      <c r="H21" s="37">
        <f>E21/B21</f>
        <v>1.9455219174550613</v>
      </c>
      <c r="J21" s="2" t="s">
        <v>19</v>
      </c>
      <c r="K21">
        <v>1</v>
      </c>
      <c r="L21" t="s">
        <v>148</v>
      </c>
      <c r="M21" t="s">
        <v>151</v>
      </c>
      <c r="N21" t="s">
        <v>155</v>
      </c>
      <c r="O21">
        <v>2875.666667</v>
      </c>
      <c r="P21">
        <v>15030.666670000001</v>
      </c>
      <c r="Q21">
        <v>10875.333329999999</v>
      </c>
      <c r="R21">
        <v>4603.3333329999996</v>
      </c>
      <c r="S21">
        <f t="shared" si="6"/>
        <v>5.2268459493187844</v>
      </c>
      <c r="T21">
        <f t="shared" si="7"/>
        <v>3.7818476858952303</v>
      </c>
      <c r="U21" s="3">
        <f t="shared" si="8"/>
        <v>1.600788222719278</v>
      </c>
    </row>
    <row r="22" spans="1:21" x14ac:dyDescent="0.2">
      <c r="A22" s="2" t="s">
        <v>18</v>
      </c>
      <c r="B22">
        <v>4026</v>
      </c>
      <c r="C22">
        <v>15634.666670000001</v>
      </c>
      <c r="D22">
        <v>8372.6666669999995</v>
      </c>
      <c r="E22">
        <v>7863.3333329999996</v>
      </c>
      <c r="F22">
        <f t="shared" ref="F22:F35" si="9">C22/B22</f>
        <v>3.8834244088425236</v>
      </c>
      <c r="G22">
        <f t="shared" ref="G22:G35" si="10">D22/B22</f>
        <v>2.0796489485842025</v>
      </c>
      <c r="H22" s="3">
        <f t="shared" ref="H22:H35" si="11">E22/B22</f>
        <v>1.9531379366616988</v>
      </c>
      <c r="J22" s="23" t="s">
        <v>100</v>
      </c>
      <c r="K22" s="24">
        <v>2</v>
      </c>
      <c r="L22" s="24" t="s">
        <v>148</v>
      </c>
      <c r="M22" s="24" t="s">
        <v>151</v>
      </c>
      <c r="N22" s="24" t="s">
        <v>155</v>
      </c>
      <c r="O22" s="24">
        <v>7208.666666666667</v>
      </c>
      <c r="P22" s="24">
        <v>58496.666666666664</v>
      </c>
      <c r="Q22" s="24">
        <v>44663</v>
      </c>
      <c r="R22" s="24">
        <v>44664.666666666664</v>
      </c>
      <c r="S22" s="24">
        <f t="shared" si="6"/>
        <v>8.1147692592250067</v>
      </c>
      <c r="T22" s="24">
        <f t="shared" si="7"/>
        <v>6.1957366133357992</v>
      </c>
      <c r="U22" s="25">
        <f t="shared" si="8"/>
        <v>6.1959678165171548</v>
      </c>
    </row>
    <row r="23" spans="1:21" x14ac:dyDescent="0.2">
      <c r="A23" s="2" t="s">
        <v>19</v>
      </c>
      <c r="B23">
        <v>2875.666667</v>
      </c>
      <c r="C23">
        <v>15030.666670000001</v>
      </c>
      <c r="D23">
        <v>10875.333329999999</v>
      </c>
      <c r="E23">
        <v>4603.3333329999996</v>
      </c>
      <c r="F23">
        <f t="shared" si="9"/>
        <v>5.2268459493187844</v>
      </c>
      <c r="G23">
        <f t="shared" si="10"/>
        <v>3.7818476858952303</v>
      </c>
      <c r="H23" s="3">
        <f t="shared" si="11"/>
        <v>1.600788222719278</v>
      </c>
      <c r="J23" s="23" t="s">
        <v>101</v>
      </c>
      <c r="K23" s="24">
        <v>2</v>
      </c>
      <c r="L23" s="24" t="s">
        <v>148</v>
      </c>
      <c r="M23" s="24" t="s">
        <v>151</v>
      </c>
      <c r="N23" s="24" t="s">
        <v>155</v>
      </c>
      <c r="O23" s="24">
        <v>6983</v>
      </c>
      <c r="P23" s="24">
        <v>12661.333333333334</v>
      </c>
      <c r="Q23" s="24">
        <v>10152.333333333334</v>
      </c>
      <c r="R23" s="24">
        <v>15796.333333333334</v>
      </c>
      <c r="S23" s="24">
        <f t="shared" si="6"/>
        <v>1.8131653062198674</v>
      </c>
      <c r="T23" s="24">
        <f t="shared" si="7"/>
        <v>1.4538641462599649</v>
      </c>
      <c r="U23" s="25">
        <f t="shared" si="8"/>
        <v>2.262112750011934</v>
      </c>
    </row>
    <row r="24" spans="1:21" x14ac:dyDescent="0.2">
      <c r="A24" s="23" t="s">
        <v>100</v>
      </c>
      <c r="B24" s="24">
        <v>7208.666666666667</v>
      </c>
      <c r="C24" s="24">
        <v>58496.666666666664</v>
      </c>
      <c r="D24" s="24">
        <v>44663</v>
      </c>
      <c r="E24" s="24">
        <v>44664.666666666664</v>
      </c>
      <c r="F24" s="24">
        <f t="shared" si="9"/>
        <v>8.1147692592250067</v>
      </c>
      <c r="G24" s="24">
        <f t="shared" si="10"/>
        <v>6.1957366133357992</v>
      </c>
      <c r="H24" s="25">
        <f t="shared" si="11"/>
        <v>6.1959678165171548</v>
      </c>
      <c r="J24" s="2" t="s">
        <v>22</v>
      </c>
      <c r="K24">
        <v>1</v>
      </c>
      <c r="L24" t="s">
        <v>149</v>
      </c>
      <c r="M24" t="s">
        <v>152</v>
      </c>
      <c r="N24" t="s">
        <v>155</v>
      </c>
      <c r="O24">
        <v>3804</v>
      </c>
      <c r="P24">
        <v>18351.333330000001</v>
      </c>
      <c r="Q24">
        <v>12657.666670000001</v>
      </c>
      <c r="R24">
        <v>6538.3333329999996</v>
      </c>
      <c r="S24">
        <f t="shared" si="6"/>
        <v>4.8242201182965303</v>
      </c>
      <c r="T24">
        <f t="shared" si="7"/>
        <v>3.3274623212407994</v>
      </c>
      <c r="U24" s="3">
        <f t="shared" si="8"/>
        <v>1.7188047668243953</v>
      </c>
    </row>
    <row r="25" spans="1:21" x14ac:dyDescent="0.2">
      <c r="A25" s="23" t="s">
        <v>101</v>
      </c>
      <c r="B25" s="24">
        <v>6983</v>
      </c>
      <c r="C25" s="24">
        <v>12661.333333333334</v>
      </c>
      <c r="D25" s="24">
        <v>10152.333333333334</v>
      </c>
      <c r="E25" s="24">
        <v>15796.333333333334</v>
      </c>
      <c r="F25" s="24">
        <f t="shared" si="9"/>
        <v>1.8131653062198674</v>
      </c>
      <c r="G25" s="24">
        <f t="shared" si="10"/>
        <v>1.4538641462599649</v>
      </c>
      <c r="H25" s="25">
        <f t="shared" si="11"/>
        <v>2.262112750011934</v>
      </c>
      <c r="J25" s="2" t="s">
        <v>23</v>
      </c>
      <c r="K25">
        <v>1</v>
      </c>
      <c r="L25" t="s">
        <v>149</v>
      </c>
      <c r="M25" t="s">
        <v>152</v>
      </c>
      <c r="N25" t="s">
        <v>155</v>
      </c>
      <c r="O25">
        <v>4222.6666670000004</v>
      </c>
      <c r="P25">
        <v>14496.666670000001</v>
      </c>
      <c r="Q25">
        <v>10393.666670000001</v>
      </c>
      <c r="R25">
        <v>5893.6666670000004</v>
      </c>
      <c r="S25">
        <f t="shared" si="6"/>
        <v>3.4330596784470271</v>
      </c>
      <c r="T25">
        <f t="shared" si="7"/>
        <v>2.4613988007213923</v>
      </c>
      <c r="U25" s="3">
        <f t="shared" si="8"/>
        <v>1.3957215029684462</v>
      </c>
    </row>
    <row r="26" spans="1:21" x14ac:dyDescent="0.2">
      <c r="A26" s="2" t="s">
        <v>22</v>
      </c>
      <c r="B26">
        <v>3804</v>
      </c>
      <c r="C26">
        <v>18351.333330000001</v>
      </c>
      <c r="D26">
        <v>12657.666670000001</v>
      </c>
      <c r="E26">
        <v>6538.3333329999996</v>
      </c>
      <c r="F26">
        <f t="shared" si="9"/>
        <v>4.8242201182965303</v>
      </c>
      <c r="G26">
        <f t="shared" si="10"/>
        <v>3.3274623212407994</v>
      </c>
      <c r="H26" s="3">
        <f t="shared" si="11"/>
        <v>1.7188047668243953</v>
      </c>
      <c r="J26" s="2" t="s">
        <v>24</v>
      </c>
      <c r="K26">
        <v>1</v>
      </c>
      <c r="L26" t="s">
        <v>149</v>
      </c>
      <c r="M26" t="s">
        <v>152</v>
      </c>
      <c r="N26" t="s">
        <v>155</v>
      </c>
      <c r="O26">
        <v>4304</v>
      </c>
      <c r="P26">
        <v>19460.666669999999</v>
      </c>
      <c r="Q26">
        <v>13884.333329999999</v>
      </c>
      <c r="R26">
        <v>11391</v>
      </c>
      <c r="S26">
        <f t="shared" si="6"/>
        <v>4.5215303601301109</v>
      </c>
      <c r="T26">
        <f t="shared" si="7"/>
        <v>3.2259138777881038</v>
      </c>
      <c r="U26" s="3">
        <f t="shared" si="8"/>
        <v>2.64660780669145</v>
      </c>
    </row>
    <row r="27" spans="1:21" x14ac:dyDescent="0.2">
      <c r="A27" s="2" t="s">
        <v>23</v>
      </c>
      <c r="B27">
        <v>4222.6666670000004</v>
      </c>
      <c r="C27">
        <v>14496.666670000001</v>
      </c>
      <c r="D27">
        <v>10393.666670000001</v>
      </c>
      <c r="E27">
        <v>5893.6666670000004</v>
      </c>
      <c r="F27">
        <f t="shared" si="9"/>
        <v>3.4330596784470271</v>
      </c>
      <c r="G27">
        <f t="shared" si="10"/>
        <v>2.4613988007213923</v>
      </c>
      <c r="H27" s="3">
        <f t="shared" si="11"/>
        <v>1.3957215029684462</v>
      </c>
      <c r="J27" s="23" t="s">
        <v>102</v>
      </c>
      <c r="K27" s="24">
        <v>2</v>
      </c>
      <c r="L27" s="24" t="s">
        <v>149</v>
      </c>
      <c r="M27" s="24" t="s">
        <v>152</v>
      </c>
      <c r="N27" s="24" t="s">
        <v>155</v>
      </c>
      <c r="O27" s="24">
        <v>8195.3333333333339</v>
      </c>
      <c r="P27" s="24">
        <v>52509.333333333336</v>
      </c>
      <c r="Q27" s="24">
        <v>48446.666666666664</v>
      </c>
      <c r="R27" s="24">
        <v>55053</v>
      </c>
      <c r="S27" s="24">
        <f t="shared" si="6"/>
        <v>6.4072236232001947</v>
      </c>
      <c r="T27" s="24">
        <f t="shared" si="7"/>
        <v>5.9114943463759859</v>
      </c>
      <c r="U27" s="25">
        <f t="shared" si="8"/>
        <v>6.7176035141950701</v>
      </c>
    </row>
    <row r="28" spans="1:21" x14ac:dyDescent="0.2">
      <c r="A28" s="2" t="s">
        <v>24</v>
      </c>
      <c r="B28">
        <v>4304</v>
      </c>
      <c r="C28">
        <v>19460.666669999999</v>
      </c>
      <c r="D28">
        <v>13884.333329999999</v>
      </c>
      <c r="E28">
        <v>11391</v>
      </c>
      <c r="F28">
        <f t="shared" si="9"/>
        <v>4.5215303601301109</v>
      </c>
      <c r="G28">
        <f t="shared" si="10"/>
        <v>3.2259138777881038</v>
      </c>
      <c r="H28" s="3">
        <f t="shared" si="11"/>
        <v>2.64660780669145</v>
      </c>
      <c r="J28" s="23" t="s">
        <v>103</v>
      </c>
      <c r="K28" s="24">
        <v>2</v>
      </c>
      <c r="L28" s="24" t="s">
        <v>149</v>
      </c>
      <c r="M28" s="24" t="s">
        <v>152</v>
      </c>
      <c r="N28" s="24" t="s">
        <v>155</v>
      </c>
      <c r="O28" s="24">
        <v>5329.666666666667</v>
      </c>
      <c r="P28" s="24">
        <v>48281.333333333336</v>
      </c>
      <c r="Q28" s="24">
        <v>44280.333333333336</v>
      </c>
      <c r="R28" s="24">
        <v>36781.666666666664</v>
      </c>
      <c r="S28" s="24">
        <f t="shared" si="6"/>
        <v>9.0589780474075923</v>
      </c>
      <c r="T28" s="24">
        <f t="shared" si="7"/>
        <v>8.308274438676591</v>
      </c>
      <c r="U28" s="25">
        <f t="shared" si="8"/>
        <v>6.9013071486647064</v>
      </c>
    </row>
    <row r="29" spans="1:21" x14ac:dyDescent="0.2">
      <c r="A29" s="23" t="s">
        <v>102</v>
      </c>
      <c r="B29" s="24">
        <v>8195.3333333333339</v>
      </c>
      <c r="C29" s="24">
        <v>52509.333333333336</v>
      </c>
      <c r="D29" s="24">
        <v>48446.666666666664</v>
      </c>
      <c r="E29" s="24">
        <v>55053</v>
      </c>
      <c r="F29" s="24">
        <f t="shared" si="9"/>
        <v>6.4072236232001947</v>
      </c>
      <c r="G29" s="24">
        <f t="shared" si="10"/>
        <v>5.9114943463759859</v>
      </c>
      <c r="H29" s="25">
        <f t="shared" si="11"/>
        <v>6.7176035141950701</v>
      </c>
      <c r="J29" s="2" t="s">
        <v>27</v>
      </c>
      <c r="K29">
        <v>1</v>
      </c>
      <c r="L29" t="s">
        <v>150</v>
      </c>
      <c r="M29" t="s">
        <v>153</v>
      </c>
      <c r="N29" t="s">
        <v>155</v>
      </c>
      <c r="O29">
        <v>3644</v>
      </c>
      <c r="P29">
        <v>13138.333329999999</v>
      </c>
      <c r="Q29">
        <v>13887.333329999999</v>
      </c>
      <c r="R29">
        <v>13150.666670000001</v>
      </c>
      <c r="S29">
        <f t="shared" si="6"/>
        <v>3.6054701783754113</v>
      </c>
      <c r="T29">
        <f t="shared" si="7"/>
        <v>3.8110135373216245</v>
      </c>
      <c r="U29" s="3">
        <f t="shared" si="8"/>
        <v>3.6088547392974752</v>
      </c>
    </row>
    <row r="30" spans="1:21" x14ac:dyDescent="0.2">
      <c r="A30" s="23" t="s">
        <v>103</v>
      </c>
      <c r="B30" s="24">
        <v>5329.666666666667</v>
      </c>
      <c r="C30" s="24">
        <v>48281.333333333336</v>
      </c>
      <c r="D30" s="24">
        <v>44280.333333333336</v>
      </c>
      <c r="E30" s="24">
        <v>36781.666666666664</v>
      </c>
      <c r="F30" s="24">
        <f t="shared" si="9"/>
        <v>9.0589780474075923</v>
      </c>
      <c r="G30" s="24">
        <f t="shared" si="10"/>
        <v>8.308274438676591</v>
      </c>
      <c r="H30" s="25">
        <f t="shared" si="11"/>
        <v>6.9013071486647064</v>
      </c>
      <c r="J30" s="2" t="s">
        <v>28</v>
      </c>
      <c r="K30">
        <v>1</v>
      </c>
      <c r="L30" t="s">
        <v>150</v>
      </c>
      <c r="M30" t="s">
        <v>153</v>
      </c>
      <c r="N30" t="s">
        <v>155</v>
      </c>
      <c r="O30">
        <v>3837.333333</v>
      </c>
      <c r="P30">
        <v>17600.333330000001</v>
      </c>
      <c r="Q30">
        <v>18961</v>
      </c>
      <c r="R30">
        <v>13578</v>
      </c>
      <c r="S30">
        <f t="shared" si="6"/>
        <v>4.5866052809752089</v>
      </c>
      <c r="T30">
        <f t="shared" si="7"/>
        <v>4.9411918002902357</v>
      </c>
      <c r="U30" s="3">
        <f t="shared" si="8"/>
        <v>3.5383947188619174</v>
      </c>
    </row>
    <row r="31" spans="1:21" x14ac:dyDescent="0.2">
      <c r="A31" s="2" t="s">
        <v>27</v>
      </c>
      <c r="B31">
        <v>3644</v>
      </c>
      <c r="C31">
        <v>13138.333329999999</v>
      </c>
      <c r="D31">
        <v>13887.333329999999</v>
      </c>
      <c r="E31">
        <v>13150.666670000001</v>
      </c>
      <c r="F31">
        <f t="shared" si="9"/>
        <v>3.6054701783754113</v>
      </c>
      <c r="G31">
        <f t="shared" si="10"/>
        <v>3.8110135373216245</v>
      </c>
      <c r="H31" s="3">
        <f t="shared" si="11"/>
        <v>3.6088547392974752</v>
      </c>
      <c r="J31" s="2" t="s">
        <v>29</v>
      </c>
      <c r="K31">
        <v>1</v>
      </c>
      <c r="L31" t="s">
        <v>150</v>
      </c>
      <c r="M31" t="s">
        <v>153</v>
      </c>
      <c r="N31" t="s">
        <v>155</v>
      </c>
      <c r="O31">
        <v>2717.666667</v>
      </c>
      <c r="P31">
        <v>17985.333330000001</v>
      </c>
      <c r="Q31">
        <v>16466.666669999999</v>
      </c>
      <c r="R31">
        <v>13498.333329999999</v>
      </c>
      <c r="S31">
        <f t="shared" si="6"/>
        <v>6.6179320475140528</v>
      </c>
      <c r="T31">
        <f t="shared" si="7"/>
        <v>6.0591193430566515</v>
      </c>
      <c r="U31" s="3">
        <f t="shared" si="8"/>
        <v>4.9668833539841915</v>
      </c>
    </row>
    <row r="32" spans="1:21" x14ac:dyDescent="0.2">
      <c r="A32" s="2" t="s">
        <v>28</v>
      </c>
      <c r="B32">
        <v>3837.333333</v>
      </c>
      <c r="C32">
        <v>17600.333330000001</v>
      </c>
      <c r="D32">
        <v>18961</v>
      </c>
      <c r="E32">
        <v>13578</v>
      </c>
      <c r="F32">
        <f t="shared" si="9"/>
        <v>4.5866052809752089</v>
      </c>
      <c r="G32">
        <f t="shared" si="10"/>
        <v>4.9411918002902357</v>
      </c>
      <c r="H32" s="3">
        <f t="shared" si="11"/>
        <v>3.5383947188619174</v>
      </c>
      <c r="J32" s="23" t="s">
        <v>104</v>
      </c>
      <c r="K32" s="24">
        <v>2</v>
      </c>
      <c r="L32" s="24" t="s">
        <v>150</v>
      </c>
      <c r="M32" s="24" t="s">
        <v>153</v>
      </c>
      <c r="N32" s="24" t="s">
        <v>155</v>
      </c>
      <c r="O32" s="24">
        <v>7630.333333333333</v>
      </c>
      <c r="P32" s="24">
        <v>38265</v>
      </c>
      <c r="Q32" s="24">
        <v>41621</v>
      </c>
      <c r="R32" s="24">
        <v>73772.666666666672</v>
      </c>
      <c r="S32" s="24">
        <f t="shared" si="6"/>
        <v>5.0148529989952388</v>
      </c>
      <c r="T32" s="24">
        <f t="shared" si="7"/>
        <v>5.4546765104189419</v>
      </c>
      <c r="U32" s="25">
        <f t="shared" si="8"/>
        <v>9.6683412694945616</v>
      </c>
    </row>
    <row r="33" spans="1:21" ht="17" thickBot="1" x14ac:dyDescent="0.25">
      <c r="A33" s="2" t="s">
        <v>29</v>
      </c>
      <c r="B33">
        <v>2717.666667</v>
      </c>
      <c r="C33">
        <v>17985.333330000001</v>
      </c>
      <c r="D33">
        <v>16466.666669999999</v>
      </c>
      <c r="E33">
        <v>13498.333329999999</v>
      </c>
      <c r="F33">
        <f t="shared" si="9"/>
        <v>6.6179320475140528</v>
      </c>
      <c r="G33">
        <f t="shared" si="10"/>
        <v>6.0591193430566515</v>
      </c>
      <c r="H33" s="3">
        <f t="shared" si="11"/>
        <v>4.9668833539841915</v>
      </c>
      <c r="J33" s="26" t="s">
        <v>105</v>
      </c>
      <c r="K33" s="27">
        <v>2</v>
      </c>
      <c r="L33" s="27" t="s">
        <v>150</v>
      </c>
      <c r="M33" s="27" t="s">
        <v>153</v>
      </c>
      <c r="N33" s="27" t="s">
        <v>155</v>
      </c>
      <c r="O33" s="27">
        <v>7617.333333333333</v>
      </c>
      <c r="P33" s="27">
        <v>50012</v>
      </c>
      <c r="Q33" s="27">
        <v>52212</v>
      </c>
      <c r="R33" s="27">
        <v>44680.666666666664</v>
      </c>
      <c r="S33" s="27">
        <f t="shared" si="6"/>
        <v>6.5655522492560827</v>
      </c>
      <c r="T33" s="27">
        <f t="shared" si="7"/>
        <v>6.8543672326273413</v>
      </c>
      <c r="U33" s="28">
        <f t="shared" si="8"/>
        <v>5.8656572728863994</v>
      </c>
    </row>
    <row r="34" spans="1:21" x14ac:dyDescent="0.2">
      <c r="A34" s="23" t="s">
        <v>104</v>
      </c>
      <c r="B34" s="24">
        <v>7630.333333333333</v>
      </c>
      <c r="C34" s="24">
        <v>38265</v>
      </c>
      <c r="D34" s="24">
        <v>41621</v>
      </c>
      <c r="E34" s="24">
        <v>73772.666666666672</v>
      </c>
      <c r="F34" s="24">
        <f t="shared" si="9"/>
        <v>5.0148529989952388</v>
      </c>
      <c r="G34" s="24">
        <f t="shared" si="10"/>
        <v>5.4546765104189419</v>
      </c>
      <c r="H34" s="25">
        <f t="shared" si="11"/>
        <v>9.6683412694945616</v>
      </c>
    </row>
    <row r="35" spans="1:21" ht="17" thickBot="1" x14ac:dyDescent="0.25">
      <c r="A35" s="26" t="s">
        <v>105</v>
      </c>
      <c r="B35" s="27">
        <v>7617.333333333333</v>
      </c>
      <c r="C35" s="27">
        <v>50012</v>
      </c>
      <c r="D35" s="27">
        <v>52212</v>
      </c>
      <c r="E35" s="27">
        <v>44680.666666666664</v>
      </c>
      <c r="F35" s="27">
        <f t="shared" si="9"/>
        <v>6.5655522492560827</v>
      </c>
      <c r="G35" s="27">
        <f t="shared" si="10"/>
        <v>6.8543672326273413</v>
      </c>
      <c r="H35" s="28">
        <f t="shared" si="11"/>
        <v>5.8656572728863994</v>
      </c>
    </row>
    <row r="38" spans="1:21" ht="48" thickBot="1" x14ac:dyDescent="0.6">
      <c r="A38" s="38" t="s">
        <v>109</v>
      </c>
      <c r="J38" s="42" t="s">
        <v>140</v>
      </c>
      <c r="K38" s="42"/>
      <c r="L38" s="42"/>
      <c r="M38" s="42"/>
      <c r="N38" s="42"/>
    </row>
    <row r="39" spans="1:21" ht="17" thickBot="1" x14ac:dyDescent="0.25">
      <c r="A39" s="6" t="s">
        <v>1</v>
      </c>
      <c r="B39" s="7" t="s">
        <v>32</v>
      </c>
      <c r="C39" s="29" t="s">
        <v>87</v>
      </c>
      <c r="D39" s="29" t="s">
        <v>88</v>
      </c>
      <c r="E39" s="29" t="s">
        <v>89</v>
      </c>
      <c r="F39" s="29" t="s">
        <v>90</v>
      </c>
      <c r="G39" s="29" t="s">
        <v>91</v>
      </c>
      <c r="H39" s="37" t="s">
        <v>92</v>
      </c>
      <c r="J39" s="6" t="s">
        <v>1</v>
      </c>
      <c r="K39" s="7" t="s">
        <v>141</v>
      </c>
      <c r="L39" s="7" t="s">
        <v>142</v>
      </c>
      <c r="M39" s="7" t="s">
        <v>143</v>
      </c>
      <c r="N39" s="7" t="s">
        <v>144</v>
      </c>
      <c r="O39" s="7" t="s">
        <v>32</v>
      </c>
      <c r="P39" s="7" t="s">
        <v>87</v>
      </c>
      <c r="Q39" s="7" t="s">
        <v>88</v>
      </c>
      <c r="R39" s="7" t="s">
        <v>89</v>
      </c>
      <c r="S39" s="7" t="s">
        <v>90</v>
      </c>
      <c r="T39" s="7" t="s">
        <v>91</v>
      </c>
      <c r="U39" s="8" t="s">
        <v>92</v>
      </c>
    </row>
    <row r="40" spans="1:21" x14ac:dyDescent="0.2">
      <c r="A40" s="2" t="s">
        <v>93</v>
      </c>
      <c r="B40">
        <v>5588.333333333333</v>
      </c>
      <c r="C40">
        <v>20185</v>
      </c>
      <c r="D40">
        <v>31764</v>
      </c>
      <c r="E40">
        <v>23801.333333333332</v>
      </c>
      <c r="F40" s="29">
        <f>C40/B40</f>
        <v>3.6119892633462571</v>
      </c>
      <c r="G40" s="29">
        <f>D40/B40</f>
        <v>5.6839844915001496</v>
      </c>
      <c r="H40" s="37">
        <f>E40/B40</f>
        <v>4.2591112436623915</v>
      </c>
      <c r="J40" s="2" t="s">
        <v>93</v>
      </c>
      <c r="K40">
        <v>1</v>
      </c>
      <c r="L40" t="s">
        <v>145</v>
      </c>
      <c r="M40" t="s">
        <v>151</v>
      </c>
      <c r="N40" t="s">
        <v>154</v>
      </c>
      <c r="O40">
        <v>5588.333333333333</v>
      </c>
      <c r="P40">
        <v>20185</v>
      </c>
      <c r="Q40">
        <v>31764</v>
      </c>
      <c r="R40">
        <v>23801.333333333332</v>
      </c>
      <c r="S40">
        <f>P40/O40</f>
        <v>3.6119892633462571</v>
      </c>
      <c r="T40">
        <f>Q40/O40</f>
        <v>5.6839844915001496</v>
      </c>
      <c r="U40" s="3">
        <f>R40/O40</f>
        <v>4.2591112436623915</v>
      </c>
    </row>
    <row r="41" spans="1:21" x14ac:dyDescent="0.2">
      <c r="A41" s="2" t="s">
        <v>2</v>
      </c>
      <c r="B41">
        <v>4476.666666666667</v>
      </c>
      <c r="C41">
        <v>8389.6666666666661</v>
      </c>
      <c r="D41">
        <v>16306</v>
      </c>
      <c r="E41">
        <v>10494.666666666666</v>
      </c>
      <c r="F41">
        <f t="shared" ref="F41:F49" si="12">C41/B41</f>
        <v>1.8740878629932982</v>
      </c>
      <c r="G41">
        <f t="shared" ref="G41:G49" si="13">D41/B41</f>
        <v>3.6424422933730454</v>
      </c>
      <c r="H41" s="3">
        <f t="shared" ref="H41:H49" si="14">E41/B41</f>
        <v>2.344303797468354</v>
      </c>
      <c r="J41" s="2" t="s">
        <v>2</v>
      </c>
      <c r="K41">
        <v>1</v>
      </c>
      <c r="L41" t="s">
        <v>145</v>
      </c>
      <c r="M41" t="s">
        <v>151</v>
      </c>
      <c r="N41" t="s">
        <v>154</v>
      </c>
      <c r="O41">
        <v>4476.666666666667</v>
      </c>
      <c r="P41">
        <v>8389.6666666666661</v>
      </c>
      <c r="Q41">
        <v>16306</v>
      </c>
      <c r="R41">
        <v>10494.666666666666</v>
      </c>
      <c r="S41">
        <f t="shared" ref="S41:S49" si="15">P41/O41</f>
        <v>1.8740878629932982</v>
      </c>
      <c r="T41">
        <f t="shared" ref="T41:T49" si="16">Q41/O41</f>
        <v>3.6424422933730454</v>
      </c>
      <c r="U41" s="3">
        <f t="shared" ref="U41:U49" si="17">R41/O41</f>
        <v>2.344303797468354</v>
      </c>
    </row>
    <row r="42" spans="1:21" x14ac:dyDescent="0.2">
      <c r="A42" s="2" t="s">
        <v>5</v>
      </c>
      <c r="B42">
        <v>4762</v>
      </c>
      <c r="C42">
        <v>13318.333333333334</v>
      </c>
      <c r="D42">
        <v>14276.333333333334</v>
      </c>
      <c r="E42">
        <v>13014.666666666666</v>
      </c>
      <c r="F42">
        <f t="shared" si="12"/>
        <v>2.7967940641187177</v>
      </c>
      <c r="G42">
        <f t="shared" si="13"/>
        <v>2.997970040599188</v>
      </c>
      <c r="H42" s="3">
        <f t="shared" si="14"/>
        <v>2.73302533949321</v>
      </c>
      <c r="J42" s="2" t="s">
        <v>5</v>
      </c>
      <c r="K42">
        <v>1</v>
      </c>
      <c r="L42" t="s">
        <v>145</v>
      </c>
      <c r="M42" t="s">
        <v>151</v>
      </c>
      <c r="N42" t="s">
        <v>154</v>
      </c>
      <c r="O42">
        <v>4762</v>
      </c>
      <c r="P42">
        <v>13318.333333333334</v>
      </c>
      <c r="Q42">
        <v>14276.333333333334</v>
      </c>
      <c r="R42">
        <v>13014.666666666666</v>
      </c>
      <c r="S42">
        <f t="shared" si="15"/>
        <v>2.7967940641187177</v>
      </c>
      <c r="T42">
        <f t="shared" si="16"/>
        <v>2.997970040599188</v>
      </c>
      <c r="U42" s="3">
        <f t="shared" si="17"/>
        <v>2.73302533949321</v>
      </c>
    </row>
    <row r="43" spans="1:21" x14ac:dyDescent="0.2">
      <c r="A43" s="2" t="s">
        <v>67</v>
      </c>
      <c r="B43">
        <v>5837.333333333333</v>
      </c>
      <c r="C43">
        <v>14910.333333333334</v>
      </c>
      <c r="D43">
        <v>20684</v>
      </c>
      <c r="E43">
        <v>12753.333333333334</v>
      </c>
      <c r="F43">
        <f t="shared" si="12"/>
        <v>2.5543056190041118</v>
      </c>
      <c r="G43">
        <f t="shared" si="13"/>
        <v>3.5433988122430335</v>
      </c>
      <c r="H43" s="3">
        <f t="shared" si="14"/>
        <v>2.1847875742348108</v>
      </c>
      <c r="J43" s="2" t="s">
        <v>67</v>
      </c>
      <c r="K43">
        <v>1</v>
      </c>
      <c r="L43" t="s">
        <v>145</v>
      </c>
      <c r="M43" t="s">
        <v>151</v>
      </c>
      <c r="N43" t="s">
        <v>154</v>
      </c>
      <c r="O43">
        <v>5837.333333333333</v>
      </c>
      <c r="P43">
        <v>14910.333333333334</v>
      </c>
      <c r="Q43">
        <v>20684</v>
      </c>
      <c r="R43">
        <v>12753.333333333334</v>
      </c>
      <c r="S43">
        <f t="shared" si="15"/>
        <v>2.5543056190041118</v>
      </c>
      <c r="T43">
        <f t="shared" si="16"/>
        <v>3.5433988122430335</v>
      </c>
      <c r="U43" s="3">
        <f t="shared" si="17"/>
        <v>2.1847875742348108</v>
      </c>
    </row>
    <row r="44" spans="1:21" x14ac:dyDescent="0.2">
      <c r="A44" s="2" t="s">
        <v>74</v>
      </c>
      <c r="B44">
        <v>3906</v>
      </c>
      <c r="C44">
        <v>7477.333333333333</v>
      </c>
      <c r="D44">
        <v>12396.666666666666</v>
      </c>
      <c r="E44">
        <v>7913.333333333333</v>
      </c>
      <c r="F44">
        <f t="shared" si="12"/>
        <v>1.9143198498037206</v>
      </c>
      <c r="G44">
        <f t="shared" si="13"/>
        <v>3.1737497866530124</v>
      </c>
      <c r="H44" s="3">
        <f t="shared" si="14"/>
        <v>2.0259429936849291</v>
      </c>
      <c r="J44" s="2" t="s">
        <v>74</v>
      </c>
      <c r="K44">
        <v>1</v>
      </c>
      <c r="L44" t="s">
        <v>145</v>
      </c>
      <c r="M44" t="s">
        <v>151</v>
      </c>
      <c r="N44" t="s">
        <v>154</v>
      </c>
      <c r="O44">
        <v>3906</v>
      </c>
      <c r="P44">
        <v>7477.333333333333</v>
      </c>
      <c r="Q44">
        <v>12396.666666666666</v>
      </c>
      <c r="R44">
        <v>7913.333333333333</v>
      </c>
      <c r="S44">
        <f t="shared" si="15"/>
        <v>1.9143198498037206</v>
      </c>
      <c r="T44">
        <f t="shared" si="16"/>
        <v>3.1737497866530124</v>
      </c>
      <c r="U44" s="3">
        <f t="shared" si="17"/>
        <v>2.0259429936849291</v>
      </c>
    </row>
    <row r="45" spans="1:21" x14ac:dyDescent="0.2">
      <c r="A45" s="2" t="s">
        <v>7</v>
      </c>
      <c r="B45">
        <v>3226.3333333333335</v>
      </c>
      <c r="C45">
        <v>15275</v>
      </c>
      <c r="D45">
        <v>15191</v>
      </c>
      <c r="E45">
        <v>10761.333333333334</v>
      </c>
      <c r="F45">
        <f t="shared" si="12"/>
        <v>4.7344767021386502</v>
      </c>
      <c r="G45">
        <f t="shared" si="13"/>
        <v>4.7084409546440744</v>
      </c>
      <c r="H45" s="3">
        <f t="shared" si="14"/>
        <v>3.3354685401384443</v>
      </c>
      <c r="J45" s="2" t="s">
        <v>7</v>
      </c>
      <c r="K45">
        <v>1</v>
      </c>
      <c r="L45" t="s">
        <v>146</v>
      </c>
      <c r="M45" t="s">
        <v>152</v>
      </c>
      <c r="N45" t="s">
        <v>154</v>
      </c>
      <c r="O45">
        <v>3226.3333333333335</v>
      </c>
      <c r="P45">
        <v>15275</v>
      </c>
      <c r="Q45">
        <v>15191</v>
      </c>
      <c r="R45">
        <v>10761.333333333334</v>
      </c>
      <c r="S45">
        <f t="shared" si="15"/>
        <v>4.7344767021386502</v>
      </c>
      <c r="T45">
        <f t="shared" si="16"/>
        <v>4.7084409546440744</v>
      </c>
      <c r="U45" s="3">
        <f t="shared" si="17"/>
        <v>3.3354685401384443</v>
      </c>
    </row>
    <row r="46" spans="1:21" x14ac:dyDescent="0.2">
      <c r="A46" s="2" t="s">
        <v>96</v>
      </c>
      <c r="B46">
        <v>4222.333333333333</v>
      </c>
      <c r="C46">
        <v>7750.666666666667</v>
      </c>
      <c r="D46">
        <v>15173</v>
      </c>
      <c r="E46">
        <v>8177</v>
      </c>
      <c r="F46">
        <f t="shared" si="12"/>
        <v>1.8356359043183077</v>
      </c>
      <c r="G46">
        <f t="shared" si="13"/>
        <v>3.5935106970869191</v>
      </c>
      <c r="H46" s="3">
        <f t="shared" si="14"/>
        <v>1.9366069313965424</v>
      </c>
      <c r="J46" s="2" t="s">
        <v>96</v>
      </c>
      <c r="K46">
        <v>1</v>
      </c>
      <c r="L46" t="s">
        <v>146</v>
      </c>
      <c r="M46" t="s">
        <v>152</v>
      </c>
      <c r="N46" t="s">
        <v>154</v>
      </c>
      <c r="O46">
        <v>4222.333333333333</v>
      </c>
      <c r="P46">
        <v>7750.666666666667</v>
      </c>
      <c r="Q46">
        <v>15173</v>
      </c>
      <c r="R46">
        <v>8177</v>
      </c>
      <c r="S46">
        <f t="shared" si="15"/>
        <v>1.8356359043183077</v>
      </c>
      <c r="T46">
        <f t="shared" si="16"/>
        <v>3.5935106970869191</v>
      </c>
      <c r="U46" s="3">
        <f t="shared" si="17"/>
        <v>1.9366069313965424</v>
      </c>
    </row>
    <row r="47" spans="1:21" x14ac:dyDescent="0.2">
      <c r="A47" s="2" t="s">
        <v>8</v>
      </c>
      <c r="B47">
        <v>5163.333333333333</v>
      </c>
      <c r="C47">
        <v>24269.666666666668</v>
      </c>
      <c r="D47">
        <v>27329.333333333332</v>
      </c>
      <c r="E47">
        <v>17934.666666666668</v>
      </c>
      <c r="F47">
        <f t="shared" si="12"/>
        <v>4.7003873466752752</v>
      </c>
      <c r="G47">
        <f t="shared" si="13"/>
        <v>5.2929632020658488</v>
      </c>
      <c r="H47" s="3">
        <f t="shared" si="14"/>
        <v>3.4734667527437062</v>
      </c>
      <c r="J47" s="2" t="s">
        <v>8</v>
      </c>
      <c r="K47">
        <v>1</v>
      </c>
      <c r="L47" t="s">
        <v>146</v>
      </c>
      <c r="M47" t="s">
        <v>152</v>
      </c>
      <c r="N47" t="s">
        <v>154</v>
      </c>
      <c r="O47">
        <v>5163.333333333333</v>
      </c>
      <c r="P47">
        <v>24269.666666666668</v>
      </c>
      <c r="Q47">
        <v>27329.333333333332</v>
      </c>
      <c r="R47">
        <v>17934.666666666668</v>
      </c>
      <c r="S47">
        <f t="shared" si="15"/>
        <v>4.7003873466752752</v>
      </c>
      <c r="T47">
        <f t="shared" si="16"/>
        <v>5.2929632020658488</v>
      </c>
      <c r="U47" s="3">
        <f t="shared" si="17"/>
        <v>3.4734667527437062</v>
      </c>
    </row>
    <row r="48" spans="1:21" x14ac:dyDescent="0.2">
      <c r="A48" s="2" t="s">
        <v>9</v>
      </c>
      <c r="B48">
        <v>3613.3333333333335</v>
      </c>
      <c r="C48">
        <v>9444.3333333333339</v>
      </c>
      <c r="D48">
        <v>15446</v>
      </c>
      <c r="E48">
        <v>14603.666666666666</v>
      </c>
      <c r="F48">
        <f t="shared" si="12"/>
        <v>2.6137453874538745</v>
      </c>
      <c r="G48">
        <f t="shared" si="13"/>
        <v>4.2747232472324725</v>
      </c>
      <c r="H48" s="3">
        <f t="shared" si="14"/>
        <v>4.0416051660516601</v>
      </c>
      <c r="J48" s="2" t="s">
        <v>9</v>
      </c>
      <c r="K48">
        <v>1</v>
      </c>
      <c r="L48" t="s">
        <v>146</v>
      </c>
      <c r="M48" t="s">
        <v>152</v>
      </c>
      <c r="N48" t="s">
        <v>154</v>
      </c>
      <c r="O48">
        <v>3613.3333333333335</v>
      </c>
      <c r="P48">
        <v>9444.3333333333339</v>
      </c>
      <c r="Q48">
        <v>15446</v>
      </c>
      <c r="R48">
        <v>14603.666666666666</v>
      </c>
      <c r="S48">
        <f t="shared" si="15"/>
        <v>2.6137453874538745</v>
      </c>
      <c r="T48">
        <f t="shared" si="16"/>
        <v>4.2747232472324725</v>
      </c>
      <c r="U48" s="3">
        <f t="shared" si="17"/>
        <v>4.0416051660516601</v>
      </c>
    </row>
    <row r="49" spans="1:21" ht="17" thickBot="1" x14ac:dyDescent="0.25">
      <c r="A49" s="4" t="s">
        <v>97</v>
      </c>
      <c r="B49" s="5">
        <v>5799.666666666667</v>
      </c>
      <c r="C49" s="5">
        <v>18437.333333333332</v>
      </c>
      <c r="D49" s="5">
        <v>28502.333333333332</v>
      </c>
      <c r="E49" s="5">
        <v>23844.333333333332</v>
      </c>
      <c r="F49" s="5">
        <f t="shared" si="12"/>
        <v>3.1790332777745842</v>
      </c>
      <c r="G49" s="5">
        <f t="shared" si="13"/>
        <v>4.9144778435542271</v>
      </c>
      <c r="H49" s="41">
        <f t="shared" si="14"/>
        <v>4.1113282372550142</v>
      </c>
      <c r="J49" s="4" t="s">
        <v>97</v>
      </c>
      <c r="K49" s="5">
        <v>1</v>
      </c>
      <c r="L49" t="s">
        <v>146</v>
      </c>
      <c r="M49" s="5" t="s">
        <v>152</v>
      </c>
      <c r="N49" s="5" t="s">
        <v>154</v>
      </c>
      <c r="O49" s="5">
        <v>5799.666666666667</v>
      </c>
      <c r="P49" s="5">
        <v>18437.333333333332</v>
      </c>
      <c r="Q49" s="5">
        <v>28502.333333333332</v>
      </c>
      <c r="R49" s="5">
        <v>23844.333333333332</v>
      </c>
      <c r="S49" s="5">
        <f t="shared" si="15"/>
        <v>3.1790332777745842</v>
      </c>
      <c r="T49" s="5">
        <f t="shared" si="16"/>
        <v>4.9144778435542271</v>
      </c>
      <c r="U49" s="41">
        <f t="shared" si="17"/>
        <v>4.1113282372550142</v>
      </c>
    </row>
    <row r="50" spans="1:21" ht="17" thickBot="1" x14ac:dyDescent="0.25">
      <c r="A50" s="2"/>
      <c r="H50" s="3"/>
      <c r="J50" s="36" t="s">
        <v>17</v>
      </c>
      <c r="K50" s="29">
        <v>1</v>
      </c>
      <c r="L50" s="29" t="s">
        <v>148</v>
      </c>
      <c r="M50" t="s">
        <v>151</v>
      </c>
      <c r="N50" s="29" t="s">
        <v>155</v>
      </c>
      <c r="O50" s="29">
        <v>4893.666666666667</v>
      </c>
      <c r="P50" s="29">
        <v>9393</v>
      </c>
      <c r="Q50" s="29">
        <v>15268.666666666666</v>
      </c>
      <c r="R50" s="29">
        <v>14935</v>
      </c>
      <c r="S50" s="29">
        <f>P50/O50</f>
        <v>1.9194196580614398</v>
      </c>
      <c r="T50" s="29">
        <f>Q50/O50</f>
        <v>3.1200871875212859</v>
      </c>
      <c r="U50" s="37">
        <f>R50/O50</f>
        <v>3.0519038212655811</v>
      </c>
    </row>
    <row r="51" spans="1:21" ht="17" thickBot="1" x14ac:dyDescent="0.25">
      <c r="A51" s="36" t="s">
        <v>1</v>
      </c>
      <c r="B51" s="29" t="s">
        <v>32</v>
      </c>
      <c r="C51" s="29" t="s">
        <v>87</v>
      </c>
      <c r="D51" s="29" t="s">
        <v>88</v>
      </c>
      <c r="E51" s="29" t="s">
        <v>89</v>
      </c>
      <c r="F51" s="29" t="s">
        <v>90</v>
      </c>
      <c r="G51" s="29" t="s">
        <v>91</v>
      </c>
      <c r="H51" s="37" t="s">
        <v>92</v>
      </c>
      <c r="J51" s="2" t="s">
        <v>138</v>
      </c>
      <c r="K51">
        <v>1</v>
      </c>
      <c r="L51" t="s">
        <v>148</v>
      </c>
      <c r="M51" t="s">
        <v>151</v>
      </c>
      <c r="N51" t="s">
        <v>155</v>
      </c>
      <c r="O51">
        <v>5335.333333333333</v>
      </c>
      <c r="P51">
        <v>12070.333333333334</v>
      </c>
      <c r="Q51">
        <v>22221.666666666668</v>
      </c>
      <c r="R51">
        <v>12030</v>
      </c>
      <c r="S51">
        <f t="shared" ref="S51:S59" si="18">P51/O51</f>
        <v>2.2623391228289393</v>
      </c>
      <c r="T51">
        <f t="shared" ref="T51:T59" si="19">Q51/O51</f>
        <v>4.165000624765713</v>
      </c>
      <c r="U51" s="3">
        <f t="shared" ref="U51:U59" si="20">R51/O51</f>
        <v>2.2547794577033615</v>
      </c>
    </row>
    <row r="52" spans="1:21" x14ac:dyDescent="0.2">
      <c r="A52" s="36" t="s">
        <v>17</v>
      </c>
      <c r="B52" s="29">
        <v>4893.666666666667</v>
      </c>
      <c r="C52" s="29">
        <v>9393</v>
      </c>
      <c r="D52" s="29">
        <v>15268.666666666666</v>
      </c>
      <c r="E52" s="29">
        <v>14935</v>
      </c>
      <c r="F52" s="29">
        <f>C52/B52</f>
        <v>1.9194196580614398</v>
      </c>
      <c r="G52" s="29">
        <f>D52/B52</f>
        <v>3.1200871875212859</v>
      </c>
      <c r="H52" s="37">
        <f>E52/B52</f>
        <v>3.0519038212655811</v>
      </c>
      <c r="J52" s="2" t="s">
        <v>18</v>
      </c>
      <c r="K52">
        <v>1</v>
      </c>
      <c r="L52" t="s">
        <v>148</v>
      </c>
      <c r="M52" t="s">
        <v>151</v>
      </c>
      <c r="N52" t="s">
        <v>155</v>
      </c>
      <c r="O52">
        <v>4011</v>
      </c>
      <c r="P52">
        <v>13371.666666666666</v>
      </c>
      <c r="Q52">
        <v>13391</v>
      </c>
      <c r="R52">
        <v>10653.333333333334</v>
      </c>
      <c r="S52">
        <f t="shared" si="18"/>
        <v>3.3337488573090668</v>
      </c>
      <c r="T52">
        <f t="shared" si="19"/>
        <v>3.338568935427574</v>
      </c>
      <c r="U52" s="3">
        <f t="shared" si="20"/>
        <v>2.6560292528878917</v>
      </c>
    </row>
    <row r="53" spans="1:21" x14ac:dyDescent="0.2">
      <c r="A53" s="2" t="s">
        <v>138</v>
      </c>
      <c r="B53">
        <v>5335.333333333333</v>
      </c>
      <c r="C53">
        <v>12070.333333333334</v>
      </c>
      <c r="D53">
        <v>22221.666666666668</v>
      </c>
      <c r="E53">
        <v>12030</v>
      </c>
      <c r="F53">
        <f t="shared" ref="F53:F61" si="21">C53/B53</f>
        <v>2.2623391228289393</v>
      </c>
      <c r="G53">
        <f t="shared" ref="G53:G61" si="22">D53/B53</f>
        <v>4.165000624765713</v>
      </c>
      <c r="H53" s="3">
        <f t="shared" ref="H53:H61" si="23">E53/B53</f>
        <v>2.2547794577033615</v>
      </c>
      <c r="J53" s="2" t="s">
        <v>100</v>
      </c>
      <c r="K53">
        <v>1</v>
      </c>
      <c r="L53" t="s">
        <v>148</v>
      </c>
      <c r="M53" t="s">
        <v>151</v>
      </c>
      <c r="N53" t="s">
        <v>155</v>
      </c>
      <c r="O53">
        <v>4051</v>
      </c>
      <c r="P53">
        <v>12738.333333333334</v>
      </c>
      <c r="Q53">
        <v>15693</v>
      </c>
      <c r="R53">
        <v>8403.6666666666661</v>
      </c>
      <c r="S53">
        <f t="shared" si="18"/>
        <v>3.1444910721632522</v>
      </c>
      <c r="T53">
        <f t="shared" si="19"/>
        <v>3.8738583065909653</v>
      </c>
      <c r="U53" s="3">
        <f t="shared" si="20"/>
        <v>2.0744672097424504</v>
      </c>
    </row>
    <row r="54" spans="1:21" x14ac:dyDescent="0.2">
      <c r="A54" s="2" t="s">
        <v>18</v>
      </c>
      <c r="B54">
        <v>4011</v>
      </c>
      <c r="C54">
        <v>13371.666666666666</v>
      </c>
      <c r="D54">
        <v>13391</v>
      </c>
      <c r="E54">
        <v>10653.333333333334</v>
      </c>
      <c r="F54">
        <f t="shared" si="21"/>
        <v>3.3337488573090668</v>
      </c>
      <c r="G54">
        <f t="shared" si="22"/>
        <v>3.338568935427574</v>
      </c>
      <c r="H54" s="3">
        <f t="shared" si="23"/>
        <v>2.6560292528878917</v>
      </c>
      <c r="J54" s="2" t="s">
        <v>101</v>
      </c>
      <c r="K54">
        <v>1</v>
      </c>
      <c r="L54" t="s">
        <v>148</v>
      </c>
      <c r="M54" t="s">
        <v>151</v>
      </c>
      <c r="N54" t="s">
        <v>155</v>
      </c>
      <c r="O54">
        <v>5400.333333333333</v>
      </c>
      <c r="P54">
        <v>14092.333333333334</v>
      </c>
      <c r="Q54">
        <v>28407.666666666668</v>
      </c>
      <c r="R54">
        <v>16642</v>
      </c>
      <c r="S54">
        <f t="shared" si="18"/>
        <v>2.6095302759088947</v>
      </c>
      <c r="T54">
        <f t="shared" si="19"/>
        <v>5.2603542991173393</v>
      </c>
      <c r="U54" s="3">
        <f t="shared" si="20"/>
        <v>3.0816616258255665</v>
      </c>
    </row>
    <row r="55" spans="1:21" x14ac:dyDescent="0.2">
      <c r="A55" s="2" t="s">
        <v>100</v>
      </c>
      <c r="B55">
        <v>4051</v>
      </c>
      <c r="C55">
        <v>12738.333333333334</v>
      </c>
      <c r="D55">
        <v>15693</v>
      </c>
      <c r="E55">
        <v>8403.6666666666661</v>
      </c>
      <c r="F55">
        <f t="shared" si="21"/>
        <v>3.1444910721632522</v>
      </c>
      <c r="G55">
        <f t="shared" si="22"/>
        <v>3.8738583065909653</v>
      </c>
      <c r="H55" s="3">
        <f t="shared" si="23"/>
        <v>2.0744672097424504</v>
      </c>
      <c r="J55" s="2" t="s">
        <v>22</v>
      </c>
      <c r="K55">
        <v>1</v>
      </c>
      <c r="L55" t="s">
        <v>149</v>
      </c>
      <c r="M55" t="s">
        <v>152</v>
      </c>
      <c r="N55" t="s">
        <v>155</v>
      </c>
      <c r="O55">
        <v>8333.6666666666661</v>
      </c>
      <c r="P55">
        <v>34287.333333333336</v>
      </c>
      <c r="Q55">
        <v>27130</v>
      </c>
      <c r="R55">
        <v>23937.333333333332</v>
      </c>
      <c r="S55">
        <f t="shared" si="18"/>
        <v>4.1143154273829055</v>
      </c>
      <c r="T55">
        <f t="shared" si="19"/>
        <v>3.2554697812087521</v>
      </c>
      <c r="U55" s="3">
        <f t="shared" si="20"/>
        <v>2.8723651053957844</v>
      </c>
    </row>
    <row r="56" spans="1:21" x14ac:dyDescent="0.2">
      <c r="A56" s="2" t="s">
        <v>101</v>
      </c>
      <c r="B56">
        <v>5400.333333333333</v>
      </c>
      <c r="C56">
        <v>14092.333333333334</v>
      </c>
      <c r="D56">
        <v>28407.666666666668</v>
      </c>
      <c r="E56">
        <v>16642</v>
      </c>
      <c r="F56">
        <f t="shared" si="21"/>
        <v>2.6095302759088947</v>
      </c>
      <c r="G56">
        <f t="shared" si="22"/>
        <v>5.2603542991173393</v>
      </c>
      <c r="H56" s="3">
        <f t="shared" si="23"/>
        <v>3.0816616258255665</v>
      </c>
      <c r="J56" s="2" t="s">
        <v>23</v>
      </c>
      <c r="K56">
        <v>1</v>
      </c>
      <c r="L56" t="s">
        <v>149</v>
      </c>
      <c r="M56" t="s">
        <v>152</v>
      </c>
      <c r="N56" t="s">
        <v>155</v>
      </c>
      <c r="O56">
        <v>6905.333333333333</v>
      </c>
      <c r="P56">
        <v>31976</v>
      </c>
      <c r="Q56">
        <v>28163.333333333332</v>
      </c>
      <c r="R56">
        <v>27203</v>
      </c>
      <c r="S56">
        <f t="shared" si="18"/>
        <v>4.6306236725236536</v>
      </c>
      <c r="T56">
        <f t="shared" si="19"/>
        <v>4.0784900559953661</v>
      </c>
      <c r="U56" s="3">
        <f t="shared" si="20"/>
        <v>3.939418806719444</v>
      </c>
    </row>
    <row r="57" spans="1:21" x14ac:dyDescent="0.2">
      <c r="A57" s="2" t="s">
        <v>22</v>
      </c>
      <c r="B57">
        <v>8333.6666666666661</v>
      </c>
      <c r="C57">
        <v>34287.333333333336</v>
      </c>
      <c r="D57">
        <v>27130</v>
      </c>
      <c r="E57">
        <v>23937.333333333332</v>
      </c>
      <c r="F57">
        <f t="shared" si="21"/>
        <v>4.1143154273829055</v>
      </c>
      <c r="G57">
        <f t="shared" si="22"/>
        <v>3.2554697812087521</v>
      </c>
      <c r="H57" s="3">
        <f t="shared" si="23"/>
        <v>2.8723651053957844</v>
      </c>
      <c r="J57" s="2" t="s">
        <v>24</v>
      </c>
      <c r="K57">
        <v>1</v>
      </c>
      <c r="L57" t="s">
        <v>149</v>
      </c>
      <c r="M57" t="s">
        <v>152</v>
      </c>
      <c r="N57" t="s">
        <v>155</v>
      </c>
      <c r="O57">
        <v>6872</v>
      </c>
      <c r="P57">
        <v>16511.666666666668</v>
      </c>
      <c r="Q57">
        <v>21477.333333333332</v>
      </c>
      <c r="R57">
        <v>26621</v>
      </c>
      <c r="S57">
        <f t="shared" si="18"/>
        <v>2.402745440434614</v>
      </c>
      <c r="T57">
        <f t="shared" si="19"/>
        <v>3.1253395421032204</v>
      </c>
      <c r="U57" s="3">
        <f t="shared" si="20"/>
        <v>3.8738358556461003</v>
      </c>
    </row>
    <row r="58" spans="1:21" x14ac:dyDescent="0.2">
      <c r="A58" s="2" t="s">
        <v>23</v>
      </c>
      <c r="B58">
        <v>6905.333333333333</v>
      </c>
      <c r="C58">
        <v>31976</v>
      </c>
      <c r="D58">
        <v>28163.333333333332</v>
      </c>
      <c r="E58">
        <v>27203</v>
      </c>
      <c r="F58">
        <f t="shared" si="21"/>
        <v>4.6306236725236536</v>
      </c>
      <c r="G58">
        <f t="shared" si="22"/>
        <v>4.0784900559953661</v>
      </c>
      <c r="H58" s="3">
        <f t="shared" si="23"/>
        <v>3.939418806719444</v>
      </c>
      <c r="J58" s="2" t="s">
        <v>102</v>
      </c>
      <c r="K58">
        <v>1</v>
      </c>
      <c r="L58" t="s">
        <v>149</v>
      </c>
      <c r="M58" t="s">
        <v>152</v>
      </c>
      <c r="N58" t="s">
        <v>155</v>
      </c>
      <c r="O58">
        <v>6809</v>
      </c>
      <c r="P58">
        <v>26700.666666666668</v>
      </c>
      <c r="Q58">
        <v>21705.333333333332</v>
      </c>
      <c r="R58">
        <v>28747.333333333332</v>
      </c>
      <c r="S58">
        <f t="shared" si="18"/>
        <v>3.921378567582122</v>
      </c>
      <c r="T58">
        <f t="shared" si="19"/>
        <v>3.1877417143976108</v>
      </c>
      <c r="U58" s="3">
        <f t="shared" si="20"/>
        <v>4.2219611298771236</v>
      </c>
    </row>
    <row r="59" spans="1:21" ht="17" thickBot="1" x14ac:dyDescent="0.25">
      <c r="A59" s="2" t="s">
        <v>24</v>
      </c>
      <c r="B59">
        <v>6872</v>
      </c>
      <c r="C59">
        <v>16511.666666666668</v>
      </c>
      <c r="D59">
        <v>21477.333333333332</v>
      </c>
      <c r="E59">
        <v>26621</v>
      </c>
      <c r="F59">
        <f t="shared" si="21"/>
        <v>2.402745440434614</v>
      </c>
      <c r="G59">
        <f t="shared" si="22"/>
        <v>3.1253395421032204</v>
      </c>
      <c r="H59" s="3">
        <f t="shared" si="23"/>
        <v>3.8738358556461003</v>
      </c>
      <c r="J59" s="4" t="s">
        <v>103</v>
      </c>
      <c r="K59" s="5">
        <v>1</v>
      </c>
      <c r="L59" s="5" t="s">
        <v>149</v>
      </c>
      <c r="M59" s="5" t="s">
        <v>152</v>
      </c>
      <c r="N59" s="5" t="s">
        <v>155</v>
      </c>
      <c r="O59" s="5">
        <v>7247</v>
      </c>
      <c r="P59" s="5">
        <v>27934.333333333332</v>
      </c>
      <c r="Q59" s="5">
        <v>29221.333333333332</v>
      </c>
      <c r="R59" s="5">
        <v>36360.333333333336</v>
      </c>
      <c r="S59" s="5">
        <f t="shared" si="18"/>
        <v>3.8546065038406696</v>
      </c>
      <c r="T59" s="5">
        <f t="shared" si="19"/>
        <v>4.0321972310381309</v>
      </c>
      <c r="U59" s="41">
        <f t="shared" si="20"/>
        <v>5.0172945126719108</v>
      </c>
    </row>
    <row r="60" spans="1:21" x14ac:dyDescent="0.2">
      <c r="A60" s="2" t="s">
        <v>102</v>
      </c>
      <c r="B60">
        <v>6809</v>
      </c>
      <c r="C60">
        <v>26700.666666666668</v>
      </c>
      <c r="D60">
        <v>21705.333333333332</v>
      </c>
      <c r="E60">
        <v>28747.333333333332</v>
      </c>
      <c r="F60">
        <f t="shared" si="21"/>
        <v>3.921378567582122</v>
      </c>
      <c r="G60">
        <f t="shared" si="22"/>
        <v>3.1877417143976108</v>
      </c>
      <c r="H60" s="3">
        <f t="shared" si="23"/>
        <v>4.2219611298771236</v>
      </c>
    </row>
    <row r="61" spans="1:21" ht="17" thickBot="1" x14ac:dyDescent="0.25">
      <c r="A61" s="4" t="s">
        <v>103</v>
      </c>
      <c r="B61" s="5">
        <v>7247</v>
      </c>
      <c r="C61" s="5">
        <v>27934.333333333332</v>
      </c>
      <c r="D61" s="5">
        <v>29221.333333333332</v>
      </c>
      <c r="E61" s="5">
        <v>36360.333333333336</v>
      </c>
      <c r="F61" s="5">
        <f t="shared" si="21"/>
        <v>3.8546065038406696</v>
      </c>
      <c r="G61" s="5">
        <f t="shared" si="22"/>
        <v>4.0321972310381309</v>
      </c>
      <c r="H61" s="41">
        <f t="shared" si="23"/>
        <v>5.0172945126719108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C376-284E-4E4B-BF61-11B5D7010BB3}">
  <dimension ref="A1:AF36"/>
  <sheetViews>
    <sheetView workbookViewId="0">
      <selection activeCell="M36" sqref="M36:V36"/>
    </sheetView>
  </sheetViews>
  <sheetFormatPr baseColWidth="10" defaultColWidth="11" defaultRowHeight="16" x14ac:dyDescent="0.2"/>
  <sheetData>
    <row r="1" spans="1:32" ht="48" thickBot="1" x14ac:dyDescent="0.6">
      <c r="A1" s="38" t="s">
        <v>110</v>
      </c>
    </row>
    <row r="2" spans="1:32" ht="17" thickBot="1" x14ac:dyDescent="0.25">
      <c r="A2" s="1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30" t="s">
        <v>5</v>
      </c>
      <c r="G2" s="31" t="s">
        <v>6</v>
      </c>
      <c r="H2" s="6" t="s">
        <v>7</v>
      </c>
      <c r="I2" s="7" t="s">
        <v>8</v>
      </c>
      <c r="J2" s="7" t="s">
        <v>9</v>
      </c>
      <c r="K2" s="30" t="s">
        <v>10</v>
      </c>
      <c r="L2" s="31" t="s">
        <v>11</v>
      </c>
      <c r="M2" s="6" t="s">
        <v>12</v>
      </c>
      <c r="N2" s="7" t="s">
        <v>13</v>
      </c>
      <c r="O2" s="7" t="s">
        <v>14</v>
      </c>
      <c r="P2" s="30" t="s">
        <v>15</v>
      </c>
      <c r="Q2" s="31" t="s">
        <v>16</v>
      </c>
      <c r="R2" s="6" t="s">
        <v>17</v>
      </c>
      <c r="S2" s="7" t="s">
        <v>18</v>
      </c>
      <c r="T2" s="7" t="s">
        <v>19</v>
      </c>
      <c r="U2" s="30" t="s">
        <v>20</v>
      </c>
      <c r="V2" s="30" t="s">
        <v>21</v>
      </c>
      <c r="W2" s="6" t="s">
        <v>22</v>
      </c>
      <c r="X2" s="7" t="s">
        <v>23</v>
      </c>
      <c r="Y2" s="7" t="s">
        <v>24</v>
      </c>
      <c r="Z2" s="30" t="s">
        <v>25</v>
      </c>
      <c r="AA2" s="30" t="s">
        <v>26</v>
      </c>
      <c r="AB2" s="6" t="s">
        <v>27</v>
      </c>
      <c r="AC2" s="7" t="s">
        <v>28</v>
      </c>
      <c r="AD2" s="7" t="s">
        <v>29</v>
      </c>
      <c r="AE2" s="30" t="s">
        <v>30</v>
      </c>
      <c r="AF2" s="31" t="s">
        <v>31</v>
      </c>
    </row>
    <row r="3" spans="1:32" ht="17" thickBot="1" x14ac:dyDescent="0.25">
      <c r="A3" s="1"/>
      <c r="B3" s="6" t="s">
        <v>32</v>
      </c>
      <c r="C3" s="2">
        <v>1678</v>
      </c>
      <c r="D3">
        <v>4692</v>
      </c>
      <c r="E3">
        <v>4072.666667</v>
      </c>
      <c r="F3" s="24">
        <v>4975.333333333333</v>
      </c>
      <c r="G3" s="25">
        <v>4981.333333333333</v>
      </c>
      <c r="H3" s="2">
        <v>3865</v>
      </c>
      <c r="I3">
        <v>3736.333333</v>
      </c>
      <c r="J3">
        <v>2879.333333</v>
      </c>
      <c r="K3" s="24">
        <v>5569.333333333333</v>
      </c>
      <c r="L3" s="25">
        <v>6318</v>
      </c>
      <c r="M3" s="2">
        <v>3838</v>
      </c>
      <c r="N3">
        <v>5100</v>
      </c>
      <c r="O3">
        <v>3486.333333</v>
      </c>
      <c r="P3" s="24">
        <v>4333.333333333333</v>
      </c>
      <c r="Q3" s="25">
        <v>3396.3333333333335</v>
      </c>
      <c r="R3" s="2">
        <v>2927</v>
      </c>
      <c r="S3">
        <v>2677.333333</v>
      </c>
      <c r="T3">
        <v>3688</v>
      </c>
      <c r="U3" s="24">
        <v>4512</v>
      </c>
      <c r="V3" s="24">
        <v>5475.333333333333</v>
      </c>
      <c r="W3" s="2">
        <v>2950.666667</v>
      </c>
      <c r="X3">
        <v>4334.6666670000004</v>
      </c>
      <c r="Y3">
        <v>2299.666667</v>
      </c>
      <c r="Z3" s="24">
        <v>5318</v>
      </c>
      <c r="AA3" s="24">
        <v>5781</v>
      </c>
      <c r="AB3" s="2">
        <v>6374</v>
      </c>
      <c r="AC3">
        <v>4935</v>
      </c>
      <c r="AD3">
        <v>3721</v>
      </c>
      <c r="AE3" s="24">
        <v>8209</v>
      </c>
      <c r="AF3" s="25">
        <v>5466.333333333333</v>
      </c>
    </row>
    <row r="4" spans="1:32" ht="17" thickBot="1" x14ac:dyDescent="0.25">
      <c r="A4" s="24" t="s">
        <v>33</v>
      </c>
      <c r="B4" s="6" t="s">
        <v>34</v>
      </c>
      <c r="C4" s="2">
        <v>11050.666670000001</v>
      </c>
      <c r="D4">
        <v>20541.666669999999</v>
      </c>
      <c r="E4">
        <v>25223.666669999999</v>
      </c>
      <c r="F4" s="24">
        <v>40436</v>
      </c>
      <c r="G4" s="25">
        <v>30491.666666666668</v>
      </c>
      <c r="H4" s="2">
        <v>30650</v>
      </c>
      <c r="I4">
        <v>10161.666670000001</v>
      </c>
      <c r="J4">
        <v>19311.666669999999</v>
      </c>
      <c r="K4" s="24">
        <v>53335.333333333336</v>
      </c>
      <c r="L4" s="25">
        <v>58651</v>
      </c>
      <c r="M4" s="2">
        <v>23382</v>
      </c>
      <c r="N4">
        <v>31206.333330000001</v>
      </c>
      <c r="O4">
        <v>42685.666669999999</v>
      </c>
      <c r="P4" s="24">
        <v>48351.333333333336</v>
      </c>
      <c r="Q4" s="25">
        <v>38242.666666666664</v>
      </c>
      <c r="R4" s="2">
        <v>5019</v>
      </c>
      <c r="S4">
        <v>8415</v>
      </c>
      <c r="T4">
        <v>5697</v>
      </c>
      <c r="U4" s="24">
        <v>28141.666666666668</v>
      </c>
      <c r="V4" s="24">
        <v>38450</v>
      </c>
      <c r="W4" s="2">
        <v>12132.666670000001</v>
      </c>
      <c r="X4">
        <v>23092</v>
      </c>
      <c r="Y4">
        <v>8437.6666669999995</v>
      </c>
      <c r="Z4" s="24">
        <v>40393.333333333336</v>
      </c>
      <c r="AA4" s="24">
        <v>69224.333333333328</v>
      </c>
      <c r="AB4" s="2">
        <v>24057.333330000001</v>
      </c>
      <c r="AC4">
        <v>34316</v>
      </c>
      <c r="AD4">
        <v>36780.666669999999</v>
      </c>
      <c r="AE4" s="24">
        <v>91893</v>
      </c>
      <c r="AF4" s="25">
        <v>70797.333333333328</v>
      </c>
    </row>
    <row r="5" spans="1:32" ht="17" thickBot="1" x14ac:dyDescent="0.25">
      <c r="A5" s="1"/>
      <c r="B5" s="6" t="s">
        <v>35</v>
      </c>
      <c r="C5" s="2">
        <v>11337</v>
      </c>
      <c r="D5">
        <v>13761.666670000001</v>
      </c>
      <c r="E5">
        <v>24116.333330000001</v>
      </c>
      <c r="F5" s="24">
        <v>27111.666666666668</v>
      </c>
      <c r="G5" s="25">
        <v>29102.333333333332</v>
      </c>
      <c r="H5" s="2">
        <v>28977</v>
      </c>
      <c r="I5">
        <v>11600.666670000001</v>
      </c>
      <c r="J5">
        <v>21259.666669999999</v>
      </c>
      <c r="K5" s="24">
        <v>43045.666666666664</v>
      </c>
      <c r="L5" s="25">
        <v>43593</v>
      </c>
      <c r="M5" s="2">
        <v>28516.333330000001</v>
      </c>
      <c r="N5">
        <v>33238.333330000001</v>
      </c>
      <c r="O5">
        <v>39140.666669999999</v>
      </c>
      <c r="P5" s="24">
        <v>39952.666666666664</v>
      </c>
      <c r="Q5" s="25">
        <v>33675.333333333336</v>
      </c>
      <c r="R5" s="2">
        <v>4340.3333329999996</v>
      </c>
      <c r="S5">
        <v>4489.6666670000004</v>
      </c>
      <c r="T5">
        <v>5261</v>
      </c>
      <c r="U5" s="24">
        <v>26725.666666666668</v>
      </c>
      <c r="V5" s="24">
        <v>41237.333333333336</v>
      </c>
      <c r="W5" s="2">
        <v>28428</v>
      </c>
      <c r="X5">
        <v>15426.666670000001</v>
      </c>
      <c r="Y5">
        <v>7185.6666670000004</v>
      </c>
      <c r="Z5" s="24">
        <v>26147.666666666668</v>
      </c>
      <c r="AA5" s="24">
        <v>57528.666666666664</v>
      </c>
      <c r="AB5" s="2">
        <v>42563.333330000001</v>
      </c>
      <c r="AC5">
        <v>30875.666669999999</v>
      </c>
      <c r="AD5">
        <v>32811.333330000001</v>
      </c>
      <c r="AE5" s="24">
        <v>77995.666666666672</v>
      </c>
      <c r="AF5" s="25">
        <v>53653</v>
      </c>
    </row>
    <row r="6" spans="1:32" ht="17" thickBot="1" x14ac:dyDescent="0.25">
      <c r="A6" s="1"/>
      <c r="B6" s="6" t="s">
        <v>36</v>
      </c>
      <c r="C6" s="2">
        <v>4950.3333329999996</v>
      </c>
      <c r="D6">
        <v>10050.333329999999</v>
      </c>
      <c r="E6">
        <v>10389.666670000001</v>
      </c>
      <c r="F6" s="24">
        <v>35688</v>
      </c>
      <c r="G6" s="25">
        <v>27167.333333333332</v>
      </c>
      <c r="H6" s="2">
        <v>20649</v>
      </c>
      <c r="I6">
        <v>9988.3333330000005</v>
      </c>
      <c r="J6">
        <v>12555</v>
      </c>
      <c r="K6" s="24">
        <v>45565.666666666664</v>
      </c>
      <c r="L6" s="25">
        <v>50891.333333333336</v>
      </c>
      <c r="M6" s="2">
        <v>13119.666670000001</v>
      </c>
      <c r="N6">
        <v>20550.666669999999</v>
      </c>
      <c r="O6">
        <v>19224.666669999999</v>
      </c>
      <c r="P6" s="24">
        <v>44658.333333333336</v>
      </c>
      <c r="Q6" s="25">
        <v>36823.666666666664</v>
      </c>
      <c r="R6" s="2">
        <v>4596</v>
      </c>
      <c r="S6">
        <v>3931</v>
      </c>
      <c r="T6">
        <v>2979.666667</v>
      </c>
      <c r="U6" s="24">
        <v>19802</v>
      </c>
      <c r="V6" s="24">
        <v>37750</v>
      </c>
      <c r="W6" s="2">
        <v>12482.666670000001</v>
      </c>
      <c r="X6">
        <v>11017</v>
      </c>
      <c r="Y6">
        <v>5521.6666670000004</v>
      </c>
      <c r="Z6" s="24">
        <v>19708.666666666668</v>
      </c>
      <c r="AA6" s="24">
        <v>46793.333333333336</v>
      </c>
      <c r="AB6" s="2">
        <v>40460.333330000001</v>
      </c>
      <c r="AC6">
        <v>28604</v>
      </c>
      <c r="AD6">
        <v>28745.333330000001</v>
      </c>
      <c r="AE6" s="24">
        <v>64755.333333333336</v>
      </c>
      <c r="AF6" s="25">
        <v>46262.666666666664</v>
      </c>
    </row>
    <row r="7" spans="1:32" ht="17" thickBot="1" x14ac:dyDescent="0.25">
      <c r="A7" s="1"/>
      <c r="B7" s="6" t="s">
        <v>37</v>
      </c>
      <c r="C7" s="2">
        <f t="shared" ref="C7:AF7" si="0">C4/C3</f>
        <v>6.585617800953516</v>
      </c>
      <c r="D7">
        <f t="shared" si="0"/>
        <v>4.3780193243819268</v>
      </c>
      <c r="E7">
        <f t="shared" si="0"/>
        <v>6.1934031759540513</v>
      </c>
      <c r="F7" s="24">
        <f t="shared" si="0"/>
        <v>8.1272946536245474</v>
      </c>
      <c r="G7" s="25">
        <f t="shared" si="0"/>
        <v>6.1211857601713069</v>
      </c>
      <c r="H7" s="2">
        <f t="shared" si="0"/>
        <v>7.9301423027166882</v>
      </c>
      <c r="I7">
        <f t="shared" si="0"/>
        <v>2.7196895363297076</v>
      </c>
      <c r="J7">
        <f t="shared" si="0"/>
        <v>6.7069923612765674</v>
      </c>
      <c r="K7" s="24">
        <f t="shared" si="0"/>
        <v>9.5766100071821896</v>
      </c>
      <c r="L7" s="25">
        <f t="shared" si="0"/>
        <v>9.2831592276036723</v>
      </c>
      <c r="M7" s="2">
        <f t="shared" si="0"/>
        <v>6.0922355393434078</v>
      </c>
      <c r="N7">
        <f t="shared" si="0"/>
        <v>6.1188888882352943</v>
      </c>
      <c r="O7">
        <f t="shared" si="0"/>
        <v>12.24371355026711</v>
      </c>
      <c r="P7" s="24">
        <f t="shared" si="0"/>
        <v>11.158000000000001</v>
      </c>
      <c r="Q7" s="25">
        <f t="shared" si="0"/>
        <v>11.259986259691823</v>
      </c>
      <c r="R7" s="2">
        <f t="shared" si="0"/>
        <v>1.7147249743764947</v>
      </c>
      <c r="S7">
        <f t="shared" si="0"/>
        <v>3.1430527892359379</v>
      </c>
      <c r="T7">
        <f t="shared" si="0"/>
        <v>1.5447396963123645</v>
      </c>
      <c r="U7" s="24">
        <f t="shared" si="0"/>
        <v>6.2370715130023644</v>
      </c>
      <c r="V7" s="24">
        <f t="shared" si="0"/>
        <v>7.0224035066358219</v>
      </c>
      <c r="W7" s="2">
        <f t="shared" si="0"/>
        <v>4.1118391330646364</v>
      </c>
      <c r="X7">
        <f t="shared" si="0"/>
        <v>5.3272839122325983</v>
      </c>
      <c r="Y7">
        <f t="shared" si="0"/>
        <v>3.669082475334239</v>
      </c>
      <c r="Z7" s="24">
        <f t="shared" si="0"/>
        <v>7.5955873135263889</v>
      </c>
      <c r="AA7" s="24">
        <f t="shared" si="0"/>
        <v>11.974456553076168</v>
      </c>
      <c r="AB7" s="2">
        <f t="shared" si="0"/>
        <v>3.7742913915908378</v>
      </c>
      <c r="AC7">
        <f t="shared" si="0"/>
        <v>6.9535967578520772</v>
      </c>
      <c r="AD7">
        <f t="shared" si="0"/>
        <v>9.8846188309594183</v>
      </c>
      <c r="AE7" s="24">
        <f t="shared" si="0"/>
        <v>11.19417712267024</v>
      </c>
      <c r="AF7" s="25">
        <f t="shared" si="0"/>
        <v>12.951521434233795</v>
      </c>
    </row>
    <row r="8" spans="1:32" ht="17" thickBot="1" x14ac:dyDescent="0.25">
      <c r="A8" s="1"/>
      <c r="B8" s="6" t="s">
        <v>38</v>
      </c>
      <c r="C8" s="2">
        <f t="shared" ref="C8:AF8" si="1">C5/C3</f>
        <v>6.7562574493444574</v>
      </c>
      <c r="D8">
        <f t="shared" si="1"/>
        <v>2.9330065366581417</v>
      </c>
      <c r="E8">
        <f t="shared" si="1"/>
        <v>5.9215092473464148</v>
      </c>
      <c r="F8" s="24">
        <f t="shared" si="1"/>
        <v>5.4492161329224178</v>
      </c>
      <c r="G8" s="25">
        <f t="shared" si="1"/>
        <v>5.8422778372591004</v>
      </c>
      <c r="H8" s="2">
        <f t="shared" si="1"/>
        <v>7.4972833117723159</v>
      </c>
      <c r="I8">
        <f t="shared" si="1"/>
        <v>3.1048264798915897</v>
      </c>
      <c r="J8">
        <f t="shared" si="1"/>
        <v>7.3835378579976307</v>
      </c>
      <c r="K8" s="24">
        <f t="shared" si="1"/>
        <v>7.7290519511611206</v>
      </c>
      <c r="L8" s="25">
        <f t="shared" si="1"/>
        <v>6.899810066476733</v>
      </c>
      <c r="M8" s="2">
        <f t="shared" si="1"/>
        <v>7.4299982621156859</v>
      </c>
      <c r="N8">
        <f t="shared" si="1"/>
        <v>6.5173202607843139</v>
      </c>
      <c r="O8">
        <f t="shared" si="1"/>
        <v>11.226885937587426</v>
      </c>
      <c r="P8" s="24">
        <f t="shared" si="1"/>
        <v>9.219846153846154</v>
      </c>
      <c r="Q8" s="25">
        <f t="shared" si="1"/>
        <v>9.9152026695455895</v>
      </c>
      <c r="R8" s="2">
        <f t="shared" si="1"/>
        <v>1.4828607218995558</v>
      </c>
      <c r="S8">
        <f t="shared" si="1"/>
        <v>1.6769173310105725</v>
      </c>
      <c r="T8">
        <f t="shared" si="1"/>
        <v>1.4265184381778742</v>
      </c>
      <c r="U8" s="24">
        <f t="shared" si="1"/>
        <v>5.9232417257683219</v>
      </c>
      <c r="V8" s="24">
        <f t="shared" si="1"/>
        <v>7.5314744916595648</v>
      </c>
      <c r="W8" s="2">
        <f t="shared" si="1"/>
        <v>9.6344328954321696</v>
      </c>
      <c r="X8">
        <f t="shared" si="1"/>
        <v>3.5589049528176786</v>
      </c>
      <c r="Y8">
        <f t="shared" si="1"/>
        <v>3.1246557469017748</v>
      </c>
      <c r="Z8" s="24">
        <f t="shared" si="1"/>
        <v>4.9168233671806449</v>
      </c>
      <c r="AA8" s="24">
        <f t="shared" si="1"/>
        <v>9.9513348324972615</v>
      </c>
      <c r="AB8" s="2">
        <f t="shared" si="1"/>
        <v>6.6776487809852529</v>
      </c>
      <c r="AC8">
        <f t="shared" si="1"/>
        <v>6.2564674103343458</v>
      </c>
      <c r="AD8">
        <f t="shared" si="1"/>
        <v>8.8178804971781783</v>
      </c>
      <c r="AE8" s="24">
        <f t="shared" si="1"/>
        <v>9.5012384780931498</v>
      </c>
      <c r="AF8" s="25">
        <f t="shared" si="1"/>
        <v>9.8151716568083422</v>
      </c>
    </row>
    <row r="9" spans="1:32" ht="17" thickBot="1" x14ac:dyDescent="0.25">
      <c r="A9" s="1"/>
      <c r="B9" s="6" t="s">
        <v>39</v>
      </c>
      <c r="C9" s="4">
        <f t="shared" ref="C9:AF9" si="2">C6/C3</f>
        <v>2.9501390542312276</v>
      </c>
      <c r="D9" s="5">
        <f t="shared" si="2"/>
        <v>2.1420147762148338</v>
      </c>
      <c r="E9" s="5">
        <f t="shared" si="2"/>
        <v>2.5510721891839032</v>
      </c>
      <c r="F9" s="27">
        <f t="shared" si="2"/>
        <v>7.1729867345571492</v>
      </c>
      <c r="G9" s="28">
        <f t="shared" si="2"/>
        <v>5.4538276231263385</v>
      </c>
      <c r="H9" s="4">
        <f t="shared" si="2"/>
        <v>5.3425614489003879</v>
      </c>
      <c r="I9" s="5">
        <f t="shared" si="2"/>
        <v>2.6732982426330003</v>
      </c>
      <c r="J9" s="5">
        <f t="shared" si="2"/>
        <v>4.3603843487335476</v>
      </c>
      <c r="K9" s="27">
        <f t="shared" si="2"/>
        <v>8.1815298060809187</v>
      </c>
      <c r="L9" s="28">
        <f t="shared" si="2"/>
        <v>8.0549752031233517</v>
      </c>
      <c r="M9" s="4">
        <f t="shared" si="2"/>
        <v>3.4183602579468473</v>
      </c>
      <c r="N9" s="5">
        <f t="shared" si="2"/>
        <v>4.0295424843137253</v>
      </c>
      <c r="O9" s="5">
        <f t="shared" si="2"/>
        <v>5.5142939110349261</v>
      </c>
      <c r="P9" s="27">
        <f t="shared" si="2"/>
        <v>10.305769230769233</v>
      </c>
      <c r="Q9" s="28">
        <f t="shared" si="2"/>
        <v>10.842182746098732</v>
      </c>
      <c r="R9" s="4">
        <f t="shared" si="2"/>
        <v>1.5702084045097369</v>
      </c>
      <c r="S9" s="5">
        <f t="shared" si="2"/>
        <v>1.4682519922146728</v>
      </c>
      <c r="T9" s="5">
        <f t="shared" si="2"/>
        <v>0.80793564723427336</v>
      </c>
      <c r="U9" s="27">
        <f t="shared" si="2"/>
        <v>4.3887411347517729</v>
      </c>
      <c r="V9" s="27">
        <f t="shared" si="2"/>
        <v>6.8945574089857544</v>
      </c>
      <c r="W9" s="4">
        <f t="shared" si="2"/>
        <v>4.2304563946870246</v>
      </c>
      <c r="X9" s="5">
        <f t="shared" si="2"/>
        <v>2.5416025836249148</v>
      </c>
      <c r="Y9" s="5">
        <f t="shared" si="2"/>
        <v>2.4010726190170937</v>
      </c>
      <c r="Z9" s="27">
        <f t="shared" si="2"/>
        <v>3.7060298357778616</v>
      </c>
      <c r="AA9" s="27">
        <f t="shared" si="2"/>
        <v>8.094332007149859</v>
      </c>
      <c r="AB9" s="4">
        <f t="shared" si="2"/>
        <v>6.347714673674302</v>
      </c>
      <c r="AC9" s="5">
        <f t="shared" si="2"/>
        <v>5.796149949341439</v>
      </c>
      <c r="AD9" s="5">
        <f t="shared" si="2"/>
        <v>7.7251634856221445</v>
      </c>
      <c r="AE9" s="27">
        <f t="shared" si="2"/>
        <v>7.8883339424209202</v>
      </c>
      <c r="AF9" s="28">
        <f t="shared" si="2"/>
        <v>8.4631989755472894</v>
      </c>
    </row>
    <row r="10" spans="1:32" ht="17" thickBot="1" x14ac:dyDescent="0.25"/>
    <row r="11" spans="1:32" ht="22" x14ac:dyDescent="0.3">
      <c r="B11" s="32" t="s">
        <v>40</v>
      </c>
      <c r="C11" s="29" t="s">
        <v>41</v>
      </c>
      <c r="D11" s="33" t="s">
        <v>42</v>
      </c>
    </row>
    <row r="12" spans="1:32" x14ac:dyDescent="0.2">
      <c r="B12" s="2" t="s">
        <v>34</v>
      </c>
      <c r="C12">
        <f t="shared" ref="C12:C17" si="3">MEDIAN(C4:E4,H4:J4,M4:O4,R4:T4,W4:Y4,AB4:AD4)</f>
        <v>21816.833334999999</v>
      </c>
      <c r="D12" s="34">
        <f t="shared" ref="D12:D17" si="4">MEDIAN(F4:G4,K4:L4,P4:Q4,U4:V4,Z4:AA4,AE4:AF4)</f>
        <v>44393.666666666672</v>
      </c>
    </row>
    <row r="13" spans="1:32" x14ac:dyDescent="0.2">
      <c r="B13" s="2" t="s">
        <v>35</v>
      </c>
      <c r="C13">
        <f t="shared" si="3"/>
        <v>22688</v>
      </c>
      <c r="D13" s="34">
        <f t="shared" si="4"/>
        <v>40595</v>
      </c>
    </row>
    <row r="14" spans="1:32" x14ac:dyDescent="0.2">
      <c r="B14" s="2" t="s">
        <v>36</v>
      </c>
      <c r="C14">
        <f t="shared" si="3"/>
        <v>11749.833334999999</v>
      </c>
      <c r="D14" s="34">
        <f t="shared" si="4"/>
        <v>41204.166666666672</v>
      </c>
    </row>
    <row r="15" spans="1:32" x14ac:dyDescent="0.2">
      <c r="B15" s="2" t="s">
        <v>37</v>
      </c>
      <c r="C15">
        <f t="shared" si="3"/>
        <v>5.7097597257880031</v>
      </c>
      <c r="D15" s="34">
        <f t="shared" si="4"/>
        <v>9.4298846173929309</v>
      </c>
    </row>
    <row r="16" spans="1:32" x14ac:dyDescent="0.2">
      <c r="B16" s="2" t="s">
        <v>38</v>
      </c>
      <c r="C16">
        <f t="shared" si="3"/>
        <v>6.3868938355593299</v>
      </c>
      <c r="D16" s="34">
        <f t="shared" si="4"/>
        <v>7.6302632214103427</v>
      </c>
    </row>
    <row r="17" spans="1:32" ht="17" thickBot="1" x14ac:dyDescent="0.25">
      <c r="B17" s="4" t="s">
        <v>39</v>
      </c>
      <c r="C17" s="5">
        <f t="shared" si="3"/>
        <v>3.1842496560890377</v>
      </c>
      <c r="D17" s="35">
        <f t="shared" si="4"/>
        <v>7.9716545727721364</v>
      </c>
    </row>
    <row r="18" spans="1:32" ht="17" thickBot="1" x14ac:dyDescent="0.25"/>
    <row r="19" spans="1:32" ht="17" thickBot="1" x14ac:dyDescent="0.25">
      <c r="B19" s="6" t="s">
        <v>1</v>
      </c>
      <c r="C19" s="6" t="s">
        <v>2</v>
      </c>
      <c r="D19" s="7" t="s">
        <v>3</v>
      </c>
      <c r="E19" s="7" t="s">
        <v>4</v>
      </c>
      <c r="F19" s="30" t="s">
        <v>5</v>
      </c>
      <c r="G19" s="31" t="s">
        <v>6</v>
      </c>
      <c r="H19" s="6" t="s">
        <v>7</v>
      </c>
      <c r="I19" s="7" t="s">
        <v>8</v>
      </c>
      <c r="J19" s="7" t="s">
        <v>9</v>
      </c>
      <c r="K19" s="30" t="s">
        <v>10</v>
      </c>
      <c r="L19" s="31" t="s">
        <v>11</v>
      </c>
      <c r="M19" s="6" t="s">
        <v>12</v>
      </c>
      <c r="N19" s="7" t="s">
        <v>13</v>
      </c>
      <c r="O19" s="7" t="s">
        <v>14</v>
      </c>
      <c r="P19" s="30" t="s">
        <v>15</v>
      </c>
      <c r="Q19" s="31" t="s">
        <v>16</v>
      </c>
      <c r="R19" s="6" t="s">
        <v>17</v>
      </c>
      <c r="S19" s="7" t="s">
        <v>18</v>
      </c>
      <c r="T19" s="7" t="s">
        <v>19</v>
      </c>
      <c r="U19" s="30" t="s">
        <v>20</v>
      </c>
      <c r="V19" s="30" t="s">
        <v>21</v>
      </c>
      <c r="W19" s="6" t="s">
        <v>22</v>
      </c>
      <c r="X19" s="7" t="s">
        <v>23</v>
      </c>
      <c r="Y19" s="7" t="s">
        <v>24</v>
      </c>
      <c r="Z19" s="30" t="s">
        <v>25</v>
      </c>
      <c r="AA19" s="30" t="s">
        <v>26</v>
      </c>
      <c r="AB19" s="6" t="s">
        <v>27</v>
      </c>
      <c r="AC19" s="7" t="s">
        <v>28</v>
      </c>
      <c r="AD19" s="7" t="s">
        <v>29</v>
      </c>
      <c r="AE19" s="30" t="s">
        <v>30</v>
      </c>
      <c r="AF19" s="31" t="s">
        <v>31</v>
      </c>
    </row>
    <row r="20" spans="1:32" ht="17" thickBot="1" x14ac:dyDescent="0.25">
      <c r="B20" s="6" t="s">
        <v>34</v>
      </c>
      <c r="C20" s="2">
        <f>C4/C12</f>
        <v>0.50652019476501176</v>
      </c>
      <c r="D20">
        <f>D4/C12</f>
        <v>0.94155124873442131</v>
      </c>
      <c r="E20">
        <f>E4/C12</f>
        <v>1.1561561791616446</v>
      </c>
      <c r="F20" s="24">
        <f>F4/D12</f>
        <v>0.91085064686404205</v>
      </c>
      <c r="G20" s="25">
        <f>G4/D12</f>
        <v>0.68684722295222289</v>
      </c>
      <c r="H20" s="2">
        <f>H4/C12</f>
        <v>1.404878495855274</v>
      </c>
      <c r="I20">
        <f>I4/C12</f>
        <v>0.46577184296026986</v>
      </c>
      <c r="J20">
        <f>J4/C12</f>
        <v>0.8851727642351721</v>
      </c>
      <c r="K20" s="24">
        <f>K4/D12</f>
        <v>1.2014176196304276</v>
      </c>
      <c r="L20" s="25">
        <f>L4/D12</f>
        <v>1.3211569217831372</v>
      </c>
      <c r="M20" s="2">
        <f>M4/C12</f>
        <v>1.0717412394808488</v>
      </c>
      <c r="N20">
        <f>N4/C12</f>
        <v>1.4303786828648843</v>
      </c>
      <c r="O20">
        <f>O4/C12</f>
        <v>1.9565473143859446</v>
      </c>
      <c r="P20" s="24">
        <f>P4/D12</f>
        <v>1.0891493531359577</v>
      </c>
      <c r="Q20" s="25">
        <f>Q4/D12</f>
        <v>0.86144419999849808</v>
      </c>
      <c r="R20" s="2">
        <f>R4/C12</f>
        <v>0.23005171845669234</v>
      </c>
      <c r="S20">
        <f>S4/C12</f>
        <v>0.38571133907413152</v>
      </c>
      <c r="T20">
        <f>T4/C12</f>
        <v>0.2611286391806687</v>
      </c>
      <c r="U20" s="24">
        <f>U4/D12</f>
        <v>0.63391174416771157</v>
      </c>
      <c r="V20" s="24">
        <f>V4/D12</f>
        <v>0.86611453585721676</v>
      </c>
      <c r="W20" s="2">
        <f>W4/C12</f>
        <v>0.55611492665784723</v>
      </c>
      <c r="X20">
        <f>X4/C12</f>
        <v>1.0584487512655787</v>
      </c>
      <c r="Y20">
        <f>Y4/C12</f>
        <v>0.38675029219129337</v>
      </c>
      <c r="Z20" s="24">
        <f>Z4/D12</f>
        <v>0.90988954880951478</v>
      </c>
      <c r="AA20" s="24">
        <f>AA4/D12</f>
        <v>1.5593290334206829</v>
      </c>
      <c r="AB20" s="2">
        <f>AB4/C12</f>
        <v>1.1026959302753458</v>
      </c>
      <c r="AC20">
        <f>AC4/C12</f>
        <v>1.5729138813627923</v>
      </c>
      <c r="AD20">
        <f>AD4/C12</f>
        <v>1.685884752623289</v>
      </c>
      <c r="AE20" s="24">
        <f>AE4/D12</f>
        <v>2.0699574263596157</v>
      </c>
      <c r="AF20" s="25">
        <f>AF4/D12</f>
        <v>1.5947620156028259</v>
      </c>
    </row>
    <row r="21" spans="1:32" ht="17" thickBot="1" x14ac:dyDescent="0.25">
      <c r="B21" s="6" t="s">
        <v>35</v>
      </c>
      <c r="C21" s="2">
        <f>C5/C13</f>
        <v>0.49969146685472499</v>
      </c>
      <c r="D21">
        <f t="shared" ref="D21:D25" si="5">D5/C13</f>
        <v>0.60656147170310304</v>
      </c>
      <c r="E21">
        <f t="shared" ref="E21:E25" si="6">E5/C13</f>
        <v>1.0629554535437236</v>
      </c>
      <c r="F21" s="24">
        <f t="shared" ref="F21:F25" si="7">F5/D13</f>
        <v>0.66785728948556888</v>
      </c>
      <c r="G21" s="25">
        <f t="shared" ref="G21:G25" si="8">G5/D13</f>
        <v>0.71689452724062896</v>
      </c>
      <c r="H21" s="2">
        <f t="shared" ref="H21:H25" si="9">H5/C13</f>
        <v>1.2771949929478139</v>
      </c>
      <c r="I21">
        <f t="shared" ref="I21:I25" si="10">I5/C13</f>
        <v>0.51131288214033854</v>
      </c>
      <c r="J21">
        <f t="shared" ref="J21:J25" si="11">J5/C13</f>
        <v>0.93704454645627644</v>
      </c>
      <c r="K21" s="24">
        <f t="shared" ref="K21:K25" si="12">K5/D13</f>
        <v>1.0603686825142669</v>
      </c>
      <c r="L21" s="25">
        <f t="shared" ref="L21:L25" si="13">L5/D13</f>
        <v>1.0738514595393522</v>
      </c>
      <c r="M21" s="2">
        <f t="shared" ref="M21:M25" si="14">M5/C13</f>
        <v>1.2568905734308886</v>
      </c>
      <c r="N21">
        <f t="shared" ref="N21:N25" si="15">N5/C13</f>
        <v>1.4650182180007052</v>
      </c>
      <c r="O21">
        <f t="shared" ref="O21:O25" si="16">O5/C13</f>
        <v>1.7251704279795486</v>
      </c>
      <c r="P21" s="24">
        <f t="shared" ref="P21:P25" si="17">P5/D13</f>
        <v>0.98417703329638295</v>
      </c>
      <c r="Q21" s="25">
        <f t="shared" ref="Q21:Q25" si="18">Q5/D13</f>
        <v>0.82954386829248272</v>
      </c>
      <c r="R21" s="2">
        <f t="shared" ref="R21:R25" si="19">R5/C13</f>
        <v>0.1913052421103667</v>
      </c>
      <c r="S21">
        <f t="shared" ref="S21:S25" si="20">S5/C13</f>
        <v>0.19788728257228494</v>
      </c>
      <c r="T21">
        <f t="shared" ref="T21:U21" si="21">T5/C13</f>
        <v>0.23188469675599435</v>
      </c>
      <c r="U21" s="24">
        <f t="shared" si="21"/>
        <v>0.65834872931806054</v>
      </c>
      <c r="V21" s="24">
        <f t="shared" ref="V21:V25" si="22">V5/D13</f>
        <v>1.0158229667036172</v>
      </c>
      <c r="W21" s="2">
        <f t="shared" ref="W21:W25" si="23">W5/C13</f>
        <v>1.252997179125529</v>
      </c>
      <c r="X21">
        <f t="shared" ref="X21:X25" si="24">X5/C13</f>
        <v>0.67994828411495067</v>
      </c>
      <c r="Y21">
        <f t="shared" ref="Y21:Z21" si="25">Y5/C13</f>
        <v>0.31671661966678422</v>
      </c>
      <c r="Z21" s="24">
        <f t="shared" si="25"/>
        <v>0.64411052264236157</v>
      </c>
      <c r="AA21" s="24">
        <f t="shared" ref="AA21:AA25" si="26">AA5/D13</f>
        <v>1.4171367574003366</v>
      </c>
      <c r="AB21" s="2">
        <f t="shared" ref="AB21:AB25" si="27">AB5/C13</f>
        <v>1.8760284436706629</v>
      </c>
      <c r="AC21">
        <f t="shared" ref="AC21:AC25" si="28">AC5/C13</f>
        <v>1.3608809357369533</v>
      </c>
      <c r="AD21">
        <f t="shared" ref="AD21:AE21" si="29">AD5/C13</f>
        <v>1.4461976961389282</v>
      </c>
      <c r="AE21" s="24">
        <f t="shared" si="29"/>
        <v>1.9213121484583489</v>
      </c>
      <c r="AF21" s="25">
        <f t="shared" ref="AF21:AF25" si="30">AF5/D13</f>
        <v>1.3216652297080922</v>
      </c>
    </row>
    <row r="22" spans="1:32" ht="17" thickBot="1" x14ac:dyDescent="0.25">
      <c r="B22" s="6" t="s">
        <v>36</v>
      </c>
      <c r="C22" s="2">
        <f t="shared" ref="C22:C25" si="31">C6/C14</f>
        <v>0.42131094049258699</v>
      </c>
      <c r="D22">
        <f t="shared" si="5"/>
        <v>0.85535965008647508</v>
      </c>
      <c r="E22">
        <f t="shared" si="6"/>
        <v>0.88423949291702875</v>
      </c>
      <c r="F22" s="24">
        <f t="shared" si="7"/>
        <v>0.86612599858428552</v>
      </c>
      <c r="G22" s="25">
        <f t="shared" si="8"/>
        <v>0.65933461421781769</v>
      </c>
      <c r="H22" s="2">
        <f t="shared" si="9"/>
        <v>1.7573866293483047</v>
      </c>
      <c r="I22">
        <f t="shared" si="10"/>
        <v>0.85008297975147418</v>
      </c>
      <c r="J22">
        <f t="shared" si="11"/>
        <v>1.0685257945405573</v>
      </c>
      <c r="K22" s="24">
        <f t="shared" si="12"/>
        <v>1.1058509454949943</v>
      </c>
      <c r="L22" s="25">
        <f t="shared" si="13"/>
        <v>1.2351016280715945</v>
      </c>
      <c r="M22" s="2">
        <f t="shared" si="14"/>
        <v>1.1165832140716063</v>
      </c>
      <c r="N22">
        <f t="shared" si="15"/>
        <v>1.7490177165989562</v>
      </c>
      <c r="O22">
        <f t="shared" si="16"/>
        <v>1.6361650520381614</v>
      </c>
      <c r="P22" s="24">
        <f t="shared" si="17"/>
        <v>1.0838305187582162</v>
      </c>
      <c r="Q22" s="25">
        <f t="shared" si="18"/>
        <v>0.89368793609060559</v>
      </c>
      <c r="R22" s="2">
        <f t="shared" si="19"/>
        <v>0.39115448440528883</v>
      </c>
      <c r="S22">
        <f t="shared" si="20"/>
        <v>0.33455793694455838</v>
      </c>
      <c r="T22">
        <f t="shared" ref="T22:U22" si="32">T6/C14</f>
        <v>0.25359224952785259</v>
      </c>
      <c r="U22" s="24">
        <f t="shared" si="32"/>
        <v>0.48058246536555765</v>
      </c>
      <c r="V22" s="24">
        <f t="shared" si="22"/>
        <v>0.91616948124178366</v>
      </c>
      <c r="W22" s="2">
        <f t="shared" si="23"/>
        <v>1.0623696791355381</v>
      </c>
      <c r="X22">
        <f t="shared" si="24"/>
        <v>0.93763032086446196</v>
      </c>
      <c r="Y22">
        <f t="shared" ref="Y22:Z22" si="33">Y6/C14</f>
        <v>0.46993574373112595</v>
      </c>
      <c r="Z22" s="24">
        <f t="shared" si="33"/>
        <v>0.47831732227727775</v>
      </c>
      <c r="AA22" s="24">
        <f t="shared" si="26"/>
        <v>1.1356456669026189</v>
      </c>
      <c r="AB22" s="2">
        <f t="shared" si="27"/>
        <v>3.4434814670501028</v>
      </c>
      <c r="AC22">
        <f t="shared" si="28"/>
        <v>2.4344175091229072</v>
      </c>
      <c r="AD22">
        <f t="shared" ref="AD22:AE22" si="34">AD6/C14</f>
        <v>2.4464460482494155</v>
      </c>
      <c r="AE22" s="24">
        <f t="shared" si="34"/>
        <v>1.571572454242087</v>
      </c>
      <c r="AF22" s="25">
        <f t="shared" si="30"/>
        <v>1.1227667104863988</v>
      </c>
    </row>
    <row r="23" spans="1:32" ht="17" thickBot="1" x14ac:dyDescent="0.25">
      <c r="B23" s="6" t="s">
        <v>37</v>
      </c>
      <c r="C23" s="2">
        <f t="shared" si="31"/>
        <v>1.1533966606702764</v>
      </c>
      <c r="D23">
        <f t="shared" si="5"/>
        <v>0.76676069303033889</v>
      </c>
      <c r="E23">
        <f t="shared" si="6"/>
        <v>1.0847046939614085</v>
      </c>
      <c r="F23" s="24">
        <f t="shared" si="7"/>
        <v>0.86186575800028087</v>
      </c>
      <c r="G23" s="25">
        <f t="shared" si="8"/>
        <v>0.64912626278386254</v>
      </c>
      <c r="H23" s="2">
        <f t="shared" si="9"/>
        <v>1.388874958590705</v>
      </c>
      <c r="I23">
        <f t="shared" si="10"/>
        <v>0.47632293948312571</v>
      </c>
      <c r="J23">
        <f t="shared" si="11"/>
        <v>1.1746540455957517</v>
      </c>
      <c r="K23" s="24">
        <f t="shared" si="12"/>
        <v>1.0155596166594267</v>
      </c>
      <c r="L23" s="25">
        <f t="shared" si="13"/>
        <v>0.98444038334057327</v>
      </c>
      <c r="M23" s="2">
        <f t="shared" si="14"/>
        <v>1.0669863237550892</v>
      </c>
      <c r="N23">
        <f t="shared" si="15"/>
        <v>1.0716543571175978</v>
      </c>
      <c r="O23">
        <f t="shared" si="16"/>
        <v>2.1443482980498549</v>
      </c>
      <c r="P23" s="24">
        <f t="shared" si="17"/>
        <v>1.1832594408864401</v>
      </c>
      <c r="Q23" s="25">
        <f t="shared" si="18"/>
        <v>1.1940746590815507</v>
      </c>
      <c r="R23" s="2">
        <f t="shared" si="19"/>
        <v>0.30031473419660332</v>
      </c>
      <c r="S23">
        <f t="shared" si="20"/>
        <v>0.55047023695943098</v>
      </c>
      <c r="T23">
        <f t="shared" ref="T23:U23" si="35">T7/C15</f>
        <v>0.27054373047180635</v>
      </c>
      <c r="U23" s="24">
        <f t="shared" si="35"/>
        <v>0.66141546435238574</v>
      </c>
      <c r="V23" s="24">
        <f t="shared" si="22"/>
        <v>0.74469665235175464</v>
      </c>
      <c r="W23" s="2">
        <f t="shared" si="23"/>
        <v>0.72014223549435996</v>
      </c>
      <c r="X23">
        <f t="shared" si="24"/>
        <v>0.93301367624491072</v>
      </c>
      <c r="Y23">
        <f t="shared" ref="Y23:Z23" si="36">Y7/C15</f>
        <v>0.64259840195427309</v>
      </c>
      <c r="Z23" s="24">
        <f t="shared" si="36"/>
        <v>0.80548040847888258</v>
      </c>
      <c r="AA23" s="24">
        <f t="shared" si="26"/>
        <v>1.2698412588198489</v>
      </c>
      <c r="AB23" s="2">
        <f t="shared" si="27"/>
        <v>0.66102455669795257</v>
      </c>
      <c r="AC23">
        <f t="shared" si="28"/>
        <v>1.2178440235315529</v>
      </c>
      <c r="AD23">
        <f t="shared" ref="AD23:AE23" si="37">AD7/C15</f>
        <v>1.7311794726345062</v>
      </c>
      <c r="AE23" s="24">
        <f t="shared" si="37"/>
        <v>1.1870958741131534</v>
      </c>
      <c r="AF23" s="25">
        <f t="shared" si="30"/>
        <v>1.3734549212134992</v>
      </c>
    </row>
    <row r="24" spans="1:32" ht="17" thickBot="1" x14ac:dyDescent="0.25">
      <c r="B24" s="6" t="s">
        <v>38</v>
      </c>
      <c r="C24" s="2">
        <f t="shared" si="31"/>
        <v>1.0578314941965496</v>
      </c>
      <c r="D24">
        <f t="shared" si="5"/>
        <v>0.45922268510688102</v>
      </c>
      <c r="E24">
        <f t="shared" si="6"/>
        <v>0.92713444121744049</v>
      </c>
      <c r="F24" s="24">
        <f t="shared" si="7"/>
        <v>0.71415834222232899</v>
      </c>
      <c r="G24" s="25">
        <f t="shared" si="8"/>
        <v>0.76567186055466652</v>
      </c>
      <c r="H24" s="2">
        <f t="shared" si="9"/>
        <v>1.1738543813004751</v>
      </c>
      <c r="I24">
        <f t="shared" si="10"/>
        <v>0.48612464209211104</v>
      </c>
      <c r="J24">
        <f t="shared" si="11"/>
        <v>1.1560451837933237</v>
      </c>
      <c r="K24" s="24">
        <f t="shared" si="12"/>
        <v>1.0129469622323879</v>
      </c>
      <c r="L24" s="25">
        <f t="shared" si="13"/>
        <v>0.90426894410615155</v>
      </c>
      <c r="M24" s="2">
        <f t="shared" si="14"/>
        <v>1.1633195185974163</v>
      </c>
      <c r="N24">
        <f t="shared" si="15"/>
        <v>1.0204209477381365</v>
      </c>
      <c r="O24">
        <f t="shared" si="16"/>
        <v>1.7578006189927902</v>
      </c>
      <c r="P24" s="24">
        <f t="shared" si="17"/>
        <v>1.208326093911869</v>
      </c>
      <c r="Q24" s="25">
        <f t="shared" si="18"/>
        <v>1.2994574868300426</v>
      </c>
      <c r="R24" s="2">
        <f t="shared" si="19"/>
        <v>0.23217243938574011</v>
      </c>
      <c r="S24">
        <f t="shared" si="20"/>
        <v>0.26255600518584743</v>
      </c>
      <c r="T24">
        <f t="shared" ref="T24:U24" si="38">T8/C16</f>
        <v>0.22335089245349063</v>
      </c>
      <c r="U24" s="24">
        <f t="shared" si="38"/>
        <v>0.77628275118318879</v>
      </c>
      <c r="V24" s="24">
        <f t="shared" si="22"/>
        <v>0.98705303776761211</v>
      </c>
      <c r="W24" s="2">
        <f t="shared" si="23"/>
        <v>1.5084692408369174</v>
      </c>
      <c r="X24">
        <f t="shared" si="24"/>
        <v>0.5572199952664485</v>
      </c>
      <c r="Y24">
        <f t="shared" ref="Y24:Z24" si="39">Y8/C16</f>
        <v>0.4892293229464858</v>
      </c>
      <c r="Z24" s="24">
        <f t="shared" si="39"/>
        <v>0.64438450214720666</v>
      </c>
      <c r="AA24" s="24">
        <f t="shared" si="26"/>
        <v>1.3041928625180381</v>
      </c>
      <c r="AB24" s="2">
        <f t="shared" si="27"/>
        <v>1.0455236853644148</v>
      </c>
      <c r="AC24">
        <f t="shared" si="28"/>
        <v>0.97957905226186337</v>
      </c>
      <c r="AD24">
        <f t="shared" ref="AD24:AE24" si="40">AD8/C16</f>
        <v>1.3806211163373683</v>
      </c>
      <c r="AE24" s="24">
        <f t="shared" si="40"/>
        <v>1.2452045496193229</v>
      </c>
      <c r="AF24" s="25">
        <f t="shared" si="30"/>
        <v>1.2863477146197522</v>
      </c>
    </row>
    <row r="25" spans="1:32" ht="17" thickBot="1" x14ac:dyDescent="0.25">
      <c r="B25" s="6" t="s">
        <v>39</v>
      </c>
      <c r="C25" s="4">
        <f t="shared" si="31"/>
        <v>0.92647856570852249</v>
      </c>
      <c r="D25" s="5">
        <f t="shared" si="5"/>
        <v>0.67269058885467581</v>
      </c>
      <c r="E25" s="5">
        <f t="shared" si="6"/>
        <v>0.80115332172703557</v>
      </c>
      <c r="F25" s="27">
        <f t="shared" si="7"/>
        <v>0.89981153461630092</v>
      </c>
      <c r="G25" s="28">
        <f t="shared" si="8"/>
        <v>0.68415252735038845</v>
      </c>
      <c r="H25" s="4">
        <f t="shared" si="9"/>
        <v>1.677808597288893</v>
      </c>
      <c r="I25" s="5">
        <f t="shared" si="10"/>
        <v>0.83953789161004466</v>
      </c>
      <c r="J25" s="5">
        <f t="shared" si="11"/>
        <v>1.369360075267799</v>
      </c>
      <c r="K25" s="27">
        <f t="shared" si="12"/>
        <v>1.026327687858632</v>
      </c>
      <c r="L25" s="28">
        <f t="shared" si="13"/>
        <v>1.0104521124931585</v>
      </c>
      <c r="M25" s="4">
        <f t="shared" si="14"/>
        <v>1.0735214342914774</v>
      </c>
      <c r="N25" s="5">
        <f t="shared" si="15"/>
        <v>1.2654606012466039</v>
      </c>
      <c r="O25" s="5">
        <f t="shared" si="16"/>
        <v>1.7317404433067281</v>
      </c>
      <c r="P25" s="27">
        <f t="shared" si="17"/>
        <v>1.2928017811972765</v>
      </c>
      <c r="Q25" s="28">
        <f t="shared" si="18"/>
        <v>1.3600918914789821</v>
      </c>
      <c r="R25" s="4">
        <f t="shared" si="19"/>
        <v>0.49311724082536285</v>
      </c>
      <c r="S25" s="5">
        <f t="shared" si="20"/>
        <v>0.46109826514608493</v>
      </c>
      <c r="T25" s="5">
        <f t="shared" ref="T25:U25" si="41">T9/C17</f>
        <v>0.25372873816263419</v>
      </c>
      <c r="U25" s="27">
        <f t="shared" si="41"/>
        <v>0.55054331502796061</v>
      </c>
      <c r="V25" s="27">
        <f t="shared" si="22"/>
        <v>0.86488411484043737</v>
      </c>
      <c r="W25" s="4">
        <f t="shared" si="23"/>
        <v>1.3285567564080261</v>
      </c>
      <c r="X25" s="5">
        <f t="shared" si="24"/>
        <v>0.79817943255949486</v>
      </c>
      <c r="Y25" s="5">
        <f t="shared" ref="Y25:Z25" si="42">Y9/C17</f>
        <v>0.75404659757933101</v>
      </c>
      <c r="Z25" s="27">
        <f t="shared" si="42"/>
        <v>0.46490095650106583</v>
      </c>
      <c r="AA25" s="27">
        <f t="shared" si="26"/>
        <v>1.0153892059995597</v>
      </c>
      <c r="AB25" s="4">
        <f t="shared" si="27"/>
        <v>1.993472673078875</v>
      </c>
      <c r="AC25" s="5">
        <f t="shared" si="28"/>
        <v>1.8202561279257206</v>
      </c>
      <c r="AD25" s="5">
        <f t="shared" ref="AD25:AE25" si="43">AD9/C17</f>
        <v>2.4260545874127071</v>
      </c>
      <c r="AE25" s="27">
        <f t="shared" si="43"/>
        <v>0.98954788750684142</v>
      </c>
      <c r="AF25" s="28">
        <f t="shared" si="30"/>
        <v>1.0616615281417316</v>
      </c>
    </row>
    <row r="28" spans="1:32" ht="48" thickBot="1" x14ac:dyDescent="0.6">
      <c r="A28" s="38" t="s">
        <v>109</v>
      </c>
    </row>
    <row r="29" spans="1:32" ht="17" thickBot="1" x14ac:dyDescent="0.25">
      <c r="B29" s="6" t="s">
        <v>1</v>
      </c>
      <c r="C29" s="6" t="s">
        <v>93</v>
      </c>
      <c r="D29" s="7" t="s">
        <v>2</v>
      </c>
      <c r="E29" s="7" t="s">
        <v>5</v>
      </c>
      <c r="F29" s="7" t="s">
        <v>67</v>
      </c>
      <c r="G29" s="8" t="s">
        <v>74</v>
      </c>
      <c r="H29" s="7" t="s">
        <v>7</v>
      </c>
      <c r="I29" s="7" t="s">
        <v>96</v>
      </c>
      <c r="J29" s="7" t="s">
        <v>8</v>
      </c>
      <c r="K29" s="7" t="s">
        <v>9</v>
      </c>
      <c r="L29" s="8" t="s">
        <v>97</v>
      </c>
      <c r="M29" s="6" t="s">
        <v>17</v>
      </c>
      <c r="N29" s="7" t="s">
        <v>138</v>
      </c>
      <c r="O29" s="7" t="s">
        <v>18</v>
      </c>
      <c r="P29" s="7" t="s">
        <v>100</v>
      </c>
      <c r="Q29" s="8" t="s">
        <v>101</v>
      </c>
      <c r="R29" s="7" t="s">
        <v>22</v>
      </c>
      <c r="S29" s="7" t="s">
        <v>23</v>
      </c>
      <c r="T29" s="7" t="s">
        <v>24</v>
      </c>
      <c r="U29" s="7" t="s">
        <v>102</v>
      </c>
      <c r="V29" s="8" t="s">
        <v>103</v>
      </c>
    </row>
    <row r="30" spans="1:32" x14ac:dyDescent="0.2">
      <c r="B30" s="2" t="s">
        <v>32</v>
      </c>
      <c r="C30" s="36">
        <v>5588.333333333333</v>
      </c>
      <c r="D30" s="29">
        <v>4302.333333333333</v>
      </c>
      <c r="E30" s="29">
        <v>3854.3333333333335</v>
      </c>
      <c r="F30" s="29">
        <v>5094</v>
      </c>
      <c r="G30" s="37">
        <v>6292.666666666667</v>
      </c>
      <c r="H30">
        <v>3559.3333333333335</v>
      </c>
      <c r="I30">
        <v>3138.6666666666665</v>
      </c>
      <c r="J30">
        <v>3838</v>
      </c>
      <c r="K30">
        <v>6402.333333333333</v>
      </c>
      <c r="L30">
        <v>6542.666666666667</v>
      </c>
      <c r="M30" s="36">
        <v>4993.666666666667</v>
      </c>
      <c r="N30" s="29">
        <v>6241</v>
      </c>
      <c r="O30" s="29">
        <v>7373.333333333333</v>
      </c>
      <c r="P30" s="29">
        <v>5291</v>
      </c>
      <c r="Q30" s="37">
        <v>5263</v>
      </c>
      <c r="R30">
        <v>1805.1666666666667</v>
      </c>
      <c r="S30">
        <v>6167.333333333333</v>
      </c>
      <c r="T30">
        <v>6458</v>
      </c>
      <c r="U30">
        <v>4612</v>
      </c>
      <c r="V30" s="3">
        <v>6338.666666666667</v>
      </c>
    </row>
    <row r="31" spans="1:32" x14ac:dyDescent="0.2">
      <c r="B31" s="2" t="s">
        <v>34</v>
      </c>
      <c r="C31" s="2">
        <v>6077.333333333333</v>
      </c>
      <c r="D31">
        <v>1046</v>
      </c>
      <c r="E31">
        <v>6304</v>
      </c>
      <c r="F31">
        <v>3794.3333333333335</v>
      </c>
      <c r="G31" s="3">
        <v>4018</v>
      </c>
      <c r="H31">
        <v>3995</v>
      </c>
      <c r="I31">
        <v>2984.6666666666665</v>
      </c>
      <c r="J31">
        <v>12046</v>
      </c>
      <c r="K31">
        <v>27959.666666666668</v>
      </c>
      <c r="L31">
        <v>19904</v>
      </c>
      <c r="M31" s="2">
        <v>6162</v>
      </c>
      <c r="N31">
        <v>7117</v>
      </c>
      <c r="O31">
        <v>3582</v>
      </c>
      <c r="P31">
        <v>966.33333333333337</v>
      </c>
      <c r="Q31" s="3">
        <v>2624</v>
      </c>
      <c r="R31">
        <v>9245.8333333333339</v>
      </c>
      <c r="S31">
        <v>25542</v>
      </c>
      <c r="T31">
        <v>31449.666666666668</v>
      </c>
      <c r="U31">
        <v>14307</v>
      </c>
      <c r="V31" s="3">
        <v>26090.333333333332</v>
      </c>
    </row>
    <row r="32" spans="1:32" x14ac:dyDescent="0.2">
      <c r="B32" s="2" t="s">
        <v>35</v>
      </c>
      <c r="C32" s="2">
        <v>28537.333333333332</v>
      </c>
      <c r="D32">
        <v>14932.666666666666</v>
      </c>
      <c r="E32">
        <v>20441</v>
      </c>
      <c r="F32">
        <v>26995.333333333332</v>
      </c>
      <c r="G32" s="3">
        <v>26749</v>
      </c>
      <c r="H32">
        <v>11532.333333333334</v>
      </c>
      <c r="I32">
        <v>6494</v>
      </c>
      <c r="J32">
        <v>20093</v>
      </c>
      <c r="K32">
        <v>45881.333333333336</v>
      </c>
      <c r="L32">
        <v>29692</v>
      </c>
      <c r="M32" s="2">
        <v>18297.333333333332</v>
      </c>
      <c r="N32">
        <v>26947.666666666668</v>
      </c>
      <c r="O32">
        <v>32248.333333333332</v>
      </c>
      <c r="P32">
        <v>20186.666666666668</v>
      </c>
      <c r="Q32" s="3">
        <v>23122</v>
      </c>
      <c r="R32">
        <v>11272.5</v>
      </c>
      <c r="S32">
        <v>35057</v>
      </c>
      <c r="T32">
        <v>43863</v>
      </c>
      <c r="U32">
        <v>22031</v>
      </c>
      <c r="V32" s="3">
        <v>34879.333333333336</v>
      </c>
    </row>
    <row r="33" spans="2:22" x14ac:dyDescent="0.2">
      <c r="B33" s="2" t="s">
        <v>36</v>
      </c>
      <c r="C33" s="2">
        <v>13435.666666666666</v>
      </c>
      <c r="D33">
        <v>9320.3333333333339</v>
      </c>
      <c r="E33">
        <v>11534.333333333334</v>
      </c>
      <c r="F33">
        <v>13424</v>
      </c>
      <c r="G33" s="3">
        <v>16747.333333333332</v>
      </c>
      <c r="H33">
        <v>9274</v>
      </c>
      <c r="I33">
        <v>4801.333333333333</v>
      </c>
      <c r="J33">
        <v>18739.666666666668</v>
      </c>
      <c r="K33">
        <v>27244.333333333332</v>
      </c>
      <c r="L33">
        <v>21924</v>
      </c>
      <c r="M33" s="2">
        <v>18083.666666666668</v>
      </c>
      <c r="N33">
        <v>17908.333333333332</v>
      </c>
      <c r="O33">
        <v>21611</v>
      </c>
      <c r="P33">
        <v>9911.3333333333339</v>
      </c>
      <c r="Q33" s="3">
        <v>14827.666666666666</v>
      </c>
      <c r="R33">
        <v>8511.6666666666661</v>
      </c>
      <c r="S33">
        <v>25245.666666666668</v>
      </c>
      <c r="T33">
        <v>33338</v>
      </c>
      <c r="U33">
        <v>16933</v>
      </c>
      <c r="V33" s="3">
        <v>25615.333333333332</v>
      </c>
    </row>
    <row r="34" spans="2:22" x14ac:dyDescent="0.2">
      <c r="B34" s="2" t="s">
        <v>37</v>
      </c>
      <c r="C34" s="2">
        <v>1.0875037280047719</v>
      </c>
      <c r="D34">
        <v>0.243123886263268</v>
      </c>
      <c r="E34">
        <v>1.6355617054397646</v>
      </c>
      <c r="F34">
        <v>0.74486323779609998</v>
      </c>
      <c r="G34" s="3">
        <v>0.63852102977010272</v>
      </c>
      <c r="H34">
        <v>1.1224011987263531</v>
      </c>
      <c r="I34">
        <v>0.9509345794392523</v>
      </c>
      <c r="J34">
        <v>3.1386138613861387</v>
      </c>
      <c r="K34">
        <v>4.3671057426979747</v>
      </c>
      <c r="L34">
        <v>3.0421846341960461</v>
      </c>
      <c r="M34" s="2">
        <v>1.2339630198251117</v>
      </c>
      <c r="N34">
        <v>1.1403621214548951</v>
      </c>
      <c r="O34">
        <v>0.48580470162748646</v>
      </c>
      <c r="P34">
        <v>0.18263718263718265</v>
      </c>
      <c r="Q34" s="3">
        <v>0.49857495724871748</v>
      </c>
      <c r="R34">
        <v>5.1218724032868623</v>
      </c>
      <c r="S34">
        <v>4.1414982164090368</v>
      </c>
      <c r="T34">
        <v>4.8698771549499327</v>
      </c>
      <c r="U34">
        <v>3.102124891587164</v>
      </c>
      <c r="V34" s="3">
        <v>4.1160601598653761</v>
      </c>
    </row>
    <row r="35" spans="2:22" x14ac:dyDescent="0.2">
      <c r="B35" s="2" t="s">
        <v>38</v>
      </c>
      <c r="C35" s="2">
        <v>5.1065911124366243</v>
      </c>
      <c r="D35">
        <v>3.4708297822886807</v>
      </c>
      <c r="E35">
        <v>5.3033814753956587</v>
      </c>
      <c r="F35">
        <v>5.2994372464337127</v>
      </c>
      <c r="G35" s="3">
        <v>4.2508210615531308</v>
      </c>
      <c r="H35">
        <v>3.2400262221389773</v>
      </c>
      <c r="I35">
        <v>2.0690314358538657</v>
      </c>
      <c r="J35">
        <v>5.2352787910369987</v>
      </c>
      <c r="K35">
        <v>7.1663456031655137</v>
      </c>
      <c r="L35">
        <v>4.5382107193804764</v>
      </c>
      <c r="M35" s="2">
        <v>3.6641078699686265</v>
      </c>
      <c r="N35">
        <v>4.3178443625487368</v>
      </c>
      <c r="O35">
        <v>4.373643761301989</v>
      </c>
      <c r="P35">
        <v>3.8152838152838155</v>
      </c>
      <c r="Q35" s="3">
        <v>4.393311799353981</v>
      </c>
      <c r="R35">
        <v>6.2445757547779523</v>
      </c>
      <c r="S35">
        <v>5.6843043995243763</v>
      </c>
      <c r="T35">
        <v>6.7920408795292664</v>
      </c>
      <c r="U35">
        <v>4.7768863833477884</v>
      </c>
      <c r="V35" s="3">
        <v>5.502629364745478</v>
      </c>
    </row>
    <row r="36" spans="2:22" ht="17" thickBot="1" x14ac:dyDescent="0.25">
      <c r="B36" s="4" t="s">
        <v>39</v>
      </c>
      <c r="C36" s="4">
        <v>2.4042350134208172</v>
      </c>
      <c r="D36" s="5">
        <v>2.1663438444255059</v>
      </c>
      <c r="E36" s="5">
        <v>2.9925624837844849</v>
      </c>
      <c r="F36" s="5">
        <v>2.6352571652925012</v>
      </c>
      <c r="G36" s="41">
        <v>2.6614048098315495</v>
      </c>
      <c r="H36" s="5">
        <v>2.6055441093837794</v>
      </c>
      <c r="I36" s="5">
        <v>1.5297366185216652</v>
      </c>
      <c r="J36" s="5">
        <v>4.8826645822476991</v>
      </c>
      <c r="K36" s="5">
        <v>4.2553756442963504</v>
      </c>
      <c r="L36" s="5">
        <v>3.3509272467902993</v>
      </c>
      <c r="M36" s="4">
        <v>3.6213203390961883</v>
      </c>
      <c r="N36" s="5">
        <v>2.8694653634567109</v>
      </c>
      <c r="O36" s="5">
        <v>2.9309674502712477</v>
      </c>
      <c r="P36" s="5">
        <v>1.8732438732438734</v>
      </c>
      <c r="Q36" s="41">
        <v>2.8173411869022735</v>
      </c>
      <c r="R36" s="5">
        <v>4.7151694211060837</v>
      </c>
      <c r="S36" s="5">
        <v>4.0934493568262891</v>
      </c>
      <c r="T36" s="5">
        <v>5.1622793434499847</v>
      </c>
      <c r="U36" s="5">
        <v>3.6715091066782306</v>
      </c>
      <c r="V36" s="41">
        <v>4.0411232646192676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F2B0-6CF2-0C47-B3E8-9E7BE88EAC95}">
  <dimension ref="A1:AB125"/>
  <sheetViews>
    <sheetView topLeftCell="A31" zoomScale="55" zoomScaleNormal="55" workbookViewId="0">
      <selection activeCell="AI35" sqref="AI35"/>
    </sheetView>
  </sheetViews>
  <sheetFormatPr baseColWidth="10" defaultColWidth="11" defaultRowHeight="16" x14ac:dyDescent="0.2"/>
  <cols>
    <col min="1" max="1" width="24.83203125" bestFit="1" customWidth="1"/>
    <col min="2" max="2" width="8.6640625" bestFit="1" customWidth="1"/>
    <col min="3" max="3" width="14.33203125" bestFit="1" customWidth="1"/>
    <col min="4" max="4" width="12.1640625" bestFit="1" customWidth="1"/>
    <col min="5" max="6" width="15.83203125" bestFit="1" customWidth="1"/>
    <col min="7" max="7" width="16.33203125" bestFit="1" customWidth="1"/>
    <col min="8" max="9" width="13.6640625" bestFit="1" customWidth="1"/>
    <col min="10" max="10" width="14" bestFit="1" customWidth="1"/>
    <col min="11" max="13" width="25" bestFit="1" customWidth="1"/>
    <col min="16" max="16" width="12.33203125" bestFit="1" customWidth="1"/>
    <col min="17" max="17" width="8.5" bestFit="1" customWidth="1"/>
    <col min="18" max="18" width="13.83203125" bestFit="1" customWidth="1"/>
    <col min="19" max="19" width="12.6640625" bestFit="1" customWidth="1"/>
    <col min="20" max="21" width="15.33203125" bestFit="1" customWidth="1"/>
    <col min="22" max="22" width="15.6640625" bestFit="1" customWidth="1"/>
    <col min="23" max="24" width="13.33203125" bestFit="1" customWidth="1"/>
    <col min="25" max="25" width="13.83203125" bestFit="1" customWidth="1"/>
    <col min="26" max="28" width="24.6640625" bestFit="1" customWidth="1"/>
  </cols>
  <sheetData>
    <row r="1" spans="1:28" ht="47" x14ac:dyDescent="0.55000000000000004">
      <c r="A1" s="38" t="s">
        <v>107</v>
      </c>
      <c r="P1" s="38" t="s">
        <v>109</v>
      </c>
    </row>
    <row r="2" spans="1:28" ht="35" thickBot="1" x14ac:dyDescent="0.25">
      <c r="A2" s="9" t="s">
        <v>43</v>
      </c>
      <c r="B2" s="9" t="s">
        <v>44</v>
      </c>
      <c r="C2" s="9" t="s">
        <v>45</v>
      </c>
      <c r="D2" s="10" t="s">
        <v>46</v>
      </c>
      <c r="E2" s="9" t="s">
        <v>47</v>
      </c>
      <c r="F2" s="9" t="s">
        <v>48</v>
      </c>
      <c r="G2" s="9" t="s">
        <v>49</v>
      </c>
      <c r="H2" s="9" t="s">
        <v>50</v>
      </c>
      <c r="I2" s="9" t="s">
        <v>51</v>
      </c>
      <c r="J2" s="9" t="s">
        <v>52</v>
      </c>
      <c r="K2" s="9" t="s">
        <v>53</v>
      </c>
      <c r="L2" s="9" t="s">
        <v>54</v>
      </c>
      <c r="M2" s="9" t="s">
        <v>55</v>
      </c>
      <c r="P2" s="9" t="s">
        <v>43</v>
      </c>
      <c r="Q2" s="9" t="s">
        <v>44</v>
      </c>
      <c r="R2" s="9" t="s">
        <v>45</v>
      </c>
      <c r="S2" s="10" t="s">
        <v>46</v>
      </c>
      <c r="T2" s="9" t="s">
        <v>47</v>
      </c>
      <c r="U2" s="9" t="s">
        <v>48</v>
      </c>
      <c r="V2" s="9" t="s">
        <v>49</v>
      </c>
      <c r="W2" s="9" t="s">
        <v>50</v>
      </c>
      <c r="X2" s="9" t="s">
        <v>51</v>
      </c>
      <c r="Y2" s="9" t="s">
        <v>52</v>
      </c>
      <c r="Z2" s="9" t="s">
        <v>53</v>
      </c>
      <c r="AA2" s="9" t="s">
        <v>54</v>
      </c>
      <c r="AB2" s="9" t="s">
        <v>55</v>
      </c>
    </row>
    <row r="3" spans="1:28" x14ac:dyDescent="0.2">
      <c r="A3" s="11" t="s">
        <v>56</v>
      </c>
      <c r="B3" s="12">
        <v>6</v>
      </c>
      <c r="C3" s="12">
        <v>19798</v>
      </c>
      <c r="D3" s="13">
        <f>C3-E3-F3-G3-H3-I3-J3</f>
        <v>2895</v>
      </c>
      <c r="E3" s="12">
        <v>151</v>
      </c>
      <c r="F3" s="12">
        <v>97</v>
      </c>
      <c r="G3" s="12">
        <v>197</v>
      </c>
      <c r="H3" s="12">
        <v>5794</v>
      </c>
      <c r="I3" s="12">
        <v>4760</v>
      </c>
      <c r="J3" s="12">
        <v>5904</v>
      </c>
      <c r="K3" s="14">
        <f t="shared" ref="K3:M5" si="0">SUM(E3,H3)</f>
        <v>5945</v>
      </c>
      <c r="L3" s="14">
        <f t="shared" si="0"/>
        <v>4857</v>
      </c>
      <c r="M3" s="14">
        <f t="shared" si="0"/>
        <v>6101</v>
      </c>
      <c r="O3" s="22"/>
      <c r="P3" s="11" t="s">
        <v>117</v>
      </c>
      <c r="Q3" s="12">
        <v>12</v>
      </c>
      <c r="R3" s="12">
        <v>62444</v>
      </c>
      <c r="S3" s="13">
        <f>R3-T3-U3-V3-W3-X3-Y3</f>
        <v>5439</v>
      </c>
      <c r="T3" s="12">
        <v>82</v>
      </c>
      <c r="U3" s="12">
        <v>154</v>
      </c>
      <c r="V3" s="12">
        <v>91</v>
      </c>
      <c r="W3" s="12">
        <v>8692</v>
      </c>
      <c r="X3" s="12">
        <v>24395</v>
      </c>
      <c r="Y3" s="12">
        <v>23591</v>
      </c>
      <c r="Z3" s="14">
        <f t="shared" ref="Z3:Z5" si="1">SUM(T3,W3)</f>
        <v>8774</v>
      </c>
      <c r="AA3" s="14">
        <f t="shared" ref="AA3:AA5" si="2">SUM(U3,X3)</f>
        <v>24549</v>
      </c>
      <c r="AB3" s="14">
        <f t="shared" ref="AB3:AB5" si="3">SUM(V3,Y3)</f>
        <v>23682</v>
      </c>
    </row>
    <row r="4" spans="1:28" x14ac:dyDescent="0.2">
      <c r="A4" s="15" t="s">
        <v>56</v>
      </c>
      <c r="B4" s="9">
        <v>2</v>
      </c>
      <c r="C4" s="9">
        <v>13174</v>
      </c>
      <c r="D4" s="16">
        <f>C4-E4-F4-G4-H4-I4-J4</f>
        <v>2818</v>
      </c>
      <c r="E4" s="9">
        <v>157</v>
      </c>
      <c r="F4" s="9">
        <v>87</v>
      </c>
      <c r="G4" s="9">
        <v>57</v>
      </c>
      <c r="H4" s="9">
        <v>3874</v>
      </c>
      <c r="I4" s="9">
        <v>3581</v>
      </c>
      <c r="J4" s="9">
        <v>2600</v>
      </c>
      <c r="K4" s="17">
        <f t="shared" si="0"/>
        <v>4031</v>
      </c>
      <c r="L4" s="17">
        <f t="shared" si="0"/>
        <v>3668</v>
      </c>
      <c r="M4" s="17">
        <f t="shared" si="0"/>
        <v>2657</v>
      </c>
      <c r="O4" s="22"/>
      <c r="P4" s="15" t="s">
        <v>117</v>
      </c>
      <c r="Q4" s="9">
        <v>17</v>
      </c>
      <c r="R4" s="9">
        <v>24906</v>
      </c>
      <c r="S4" s="16">
        <f>R4-T4-U4-V4-W4-X4-Y4</f>
        <v>3654</v>
      </c>
      <c r="T4" s="9">
        <v>22</v>
      </c>
      <c r="U4" s="9">
        <v>51</v>
      </c>
      <c r="V4" s="9">
        <v>32</v>
      </c>
      <c r="W4" s="9">
        <v>2743</v>
      </c>
      <c r="X4" s="9">
        <v>9519</v>
      </c>
      <c r="Y4" s="9">
        <v>8885</v>
      </c>
      <c r="Z4" s="17">
        <f t="shared" si="1"/>
        <v>2765</v>
      </c>
      <c r="AA4" s="17">
        <f t="shared" si="2"/>
        <v>9570</v>
      </c>
      <c r="AB4" s="17">
        <f t="shared" si="3"/>
        <v>8917</v>
      </c>
    </row>
    <row r="5" spans="1:28" ht="17" thickBot="1" x14ac:dyDescent="0.25">
      <c r="A5" s="18" t="s">
        <v>56</v>
      </c>
      <c r="B5" s="19">
        <v>4</v>
      </c>
      <c r="C5" s="19">
        <v>17675</v>
      </c>
      <c r="D5" s="20">
        <f>C5-E5-F5-G5-H5-I5-J5</f>
        <v>3068</v>
      </c>
      <c r="E5" s="19">
        <v>158</v>
      </c>
      <c r="F5" s="19">
        <v>98</v>
      </c>
      <c r="G5" s="19">
        <v>150</v>
      </c>
      <c r="H5" s="19">
        <v>4923</v>
      </c>
      <c r="I5" s="19">
        <v>4398</v>
      </c>
      <c r="J5" s="19">
        <v>4880</v>
      </c>
      <c r="K5" s="21">
        <f t="shared" si="0"/>
        <v>5081</v>
      </c>
      <c r="L5" s="21">
        <f t="shared" si="0"/>
        <v>4496</v>
      </c>
      <c r="M5" s="21">
        <f t="shared" si="0"/>
        <v>5030</v>
      </c>
      <c r="O5" s="22"/>
      <c r="P5" s="18" t="s">
        <v>117</v>
      </c>
      <c r="Q5" s="19">
        <v>14</v>
      </c>
      <c r="R5" s="19">
        <v>55260</v>
      </c>
      <c r="S5" s="20">
        <f>R5-T5-U5-V5-W5-X5-Y5</f>
        <v>5888</v>
      </c>
      <c r="T5" s="19">
        <v>64</v>
      </c>
      <c r="U5" s="19">
        <v>118</v>
      </c>
      <c r="V5" s="19">
        <v>81</v>
      </c>
      <c r="W5" s="19">
        <v>6883</v>
      </c>
      <c r="X5" s="19">
        <v>20655</v>
      </c>
      <c r="Y5" s="19">
        <v>21571</v>
      </c>
      <c r="Z5" s="21">
        <f t="shared" si="1"/>
        <v>6947</v>
      </c>
      <c r="AA5" s="21">
        <f t="shared" si="2"/>
        <v>20773</v>
      </c>
      <c r="AB5" s="21">
        <f t="shared" si="3"/>
        <v>21652</v>
      </c>
    </row>
    <row r="6" spans="1:28" ht="17" thickBot="1" x14ac:dyDescent="0.25">
      <c r="A6" s="9"/>
      <c r="B6" s="9" t="s">
        <v>57</v>
      </c>
      <c r="C6" s="9">
        <f t="shared" ref="C6:M6" si="4">AVERAGE(C3:C5)</f>
        <v>16882.333333333332</v>
      </c>
      <c r="D6" s="9">
        <f t="shared" si="4"/>
        <v>2927</v>
      </c>
      <c r="E6" s="9">
        <f t="shared" si="4"/>
        <v>155.33333333333334</v>
      </c>
      <c r="F6" s="9">
        <f t="shared" si="4"/>
        <v>94</v>
      </c>
      <c r="G6" s="9">
        <f t="shared" si="4"/>
        <v>134.66666666666666</v>
      </c>
      <c r="H6" s="9">
        <f t="shared" si="4"/>
        <v>4863.666666666667</v>
      </c>
      <c r="I6" s="9">
        <f t="shared" si="4"/>
        <v>4246.333333333333</v>
      </c>
      <c r="J6" s="9">
        <f t="shared" si="4"/>
        <v>4461.333333333333</v>
      </c>
      <c r="K6" s="9">
        <f t="shared" si="4"/>
        <v>5019</v>
      </c>
      <c r="L6" s="9">
        <f t="shared" si="4"/>
        <v>4340.333333333333</v>
      </c>
      <c r="M6" s="9">
        <f t="shared" si="4"/>
        <v>4596</v>
      </c>
      <c r="O6" s="22"/>
      <c r="P6" s="9"/>
      <c r="Q6" s="9" t="s">
        <v>57</v>
      </c>
      <c r="R6" s="9">
        <f t="shared" ref="R6:AB6" si="5">AVERAGE(R3:R5)</f>
        <v>47536.666666666664</v>
      </c>
      <c r="S6" s="9">
        <f t="shared" si="5"/>
        <v>4993.666666666667</v>
      </c>
      <c r="T6" s="9">
        <f t="shared" si="5"/>
        <v>56</v>
      </c>
      <c r="U6" s="9">
        <f t="shared" si="5"/>
        <v>107.66666666666667</v>
      </c>
      <c r="V6" s="9">
        <f t="shared" si="5"/>
        <v>68</v>
      </c>
      <c r="W6" s="9">
        <f t="shared" si="5"/>
        <v>6106</v>
      </c>
      <c r="X6" s="9">
        <f t="shared" si="5"/>
        <v>18189.666666666668</v>
      </c>
      <c r="Y6" s="9">
        <f t="shared" si="5"/>
        <v>18015.666666666668</v>
      </c>
      <c r="Z6" s="9">
        <f t="shared" si="5"/>
        <v>6162</v>
      </c>
      <c r="AA6" s="9">
        <f t="shared" si="5"/>
        <v>18297.333333333332</v>
      </c>
      <c r="AB6" s="9">
        <f t="shared" si="5"/>
        <v>18083.666666666668</v>
      </c>
    </row>
    <row r="7" spans="1:28" x14ac:dyDescent="0.2">
      <c r="A7" s="11" t="s">
        <v>58</v>
      </c>
      <c r="B7" s="12">
        <v>6</v>
      </c>
      <c r="C7" s="12">
        <v>23474</v>
      </c>
      <c r="D7" s="13">
        <f>C7-E7-F7-G7-H7-I7-J7</f>
        <v>3038</v>
      </c>
      <c r="E7" s="12">
        <v>436</v>
      </c>
      <c r="F7" s="12">
        <v>103</v>
      </c>
      <c r="G7" s="12">
        <v>62</v>
      </c>
      <c r="H7" s="12">
        <v>10174</v>
      </c>
      <c r="I7" s="12">
        <v>5111</v>
      </c>
      <c r="J7" s="12">
        <v>4550</v>
      </c>
      <c r="K7" s="14">
        <f t="shared" ref="K7:M9" si="6">SUM(E7,H7)</f>
        <v>10610</v>
      </c>
      <c r="L7" s="14">
        <f t="shared" si="6"/>
        <v>5214</v>
      </c>
      <c r="M7" s="14">
        <f t="shared" si="6"/>
        <v>4612</v>
      </c>
      <c r="O7" s="22"/>
      <c r="P7" s="11" t="s">
        <v>119</v>
      </c>
      <c r="Q7" s="12">
        <v>10</v>
      </c>
      <c r="R7" s="12">
        <v>71271</v>
      </c>
      <c r="S7" s="13">
        <f>R7-T7-U7-V7-W7-X7-Y7</f>
        <v>6157</v>
      </c>
      <c r="T7" s="12">
        <v>100</v>
      </c>
      <c r="U7" s="12">
        <v>189</v>
      </c>
      <c r="V7" s="12">
        <v>89</v>
      </c>
      <c r="W7" s="12">
        <v>8997</v>
      </c>
      <c r="X7" s="12">
        <v>32333</v>
      </c>
      <c r="Y7" s="12">
        <v>23406</v>
      </c>
      <c r="Z7" s="14">
        <f t="shared" ref="Z7:Z9" si="7">SUM(T7,W7)</f>
        <v>9097</v>
      </c>
      <c r="AA7" s="14">
        <f t="shared" ref="AA7:AA9" si="8">SUM(U7,X7)</f>
        <v>32522</v>
      </c>
      <c r="AB7" s="14">
        <f t="shared" ref="AB7:AB9" si="9">SUM(V7,Y7)</f>
        <v>23495</v>
      </c>
    </row>
    <row r="8" spans="1:28" x14ac:dyDescent="0.2">
      <c r="A8" s="15" t="s">
        <v>58</v>
      </c>
      <c r="B8" s="9">
        <v>8</v>
      </c>
      <c r="C8" s="9">
        <v>17574</v>
      </c>
      <c r="D8" s="16">
        <f>C8-E8-F8-G8-H8-I8-J8</f>
        <v>2623</v>
      </c>
      <c r="E8" s="9">
        <v>243</v>
      </c>
      <c r="F8" s="9">
        <v>75</v>
      </c>
      <c r="G8" s="9">
        <v>51</v>
      </c>
      <c r="H8" s="9">
        <v>6461</v>
      </c>
      <c r="I8" s="9">
        <v>3606</v>
      </c>
      <c r="J8" s="9">
        <v>4515</v>
      </c>
      <c r="K8" s="17">
        <f t="shared" si="6"/>
        <v>6704</v>
      </c>
      <c r="L8" s="17">
        <f t="shared" si="6"/>
        <v>3681</v>
      </c>
      <c r="M8" s="17">
        <f t="shared" si="6"/>
        <v>4566</v>
      </c>
      <c r="O8" s="22"/>
      <c r="P8" s="15" t="s">
        <v>119</v>
      </c>
      <c r="Q8" s="9">
        <v>12</v>
      </c>
      <c r="R8" s="9">
        <v>69426</v>
      </c>
      <c r="S8" s="16">
        <f>R8-T8-U8-V8-W8-X8-Y8</f>
        <v>6941</v>
      </c>
      <c r="T8" s="9">
        <v>118</v>
      </c>
      <c r="U8" s="9">
        <v>169</v>
      </c>
      <c r="V8" s="9">
        <v>75</v>
      </c>
      <c r="W8" s="9">
        <v>8130</v>
      </c>
      <c r="X8" s="9">
        <v>32344</v>
      </c>
      <c r="Y8" s="9">
        <v>21649</v>
      </c>
      <c r="Z8" s="17">
        <f t="shared" si="7"/>
        <v>8248</v>
      </c>
      <c r="AA8" s="17">
        <f t="shared" si="8"/>
        <v>32513</v>
      </c>
      <c r="AB8" s="17">
        <f t="shared" si="9"/>
        <v>21724</v>
      </c>
    </row>
    <row r="9" spans="1:28" ht="17" thickBot="1" x14ac:dyDescent="0.25">
      <c r="A9" s="18" t="s">
        <v>58</v>
      </c>
      <c r="B9" s="19">
        <v>4</v>
      </c>
      <c r="C9" s="19">
        <v>17491</v>
      </c>
      <c r="D9" s="20">
        <f>C9-E9-F9-G9-H9-I9-J9</f>
        <v>2371</v>
      </c>
      <c r="E9" s="19">
        <v>468</v>
      </c>
      <c r="F9" s="19">
        <v>174</v>
      </c>
      <c r="G9" s="19">
        <v>31</v>
      </c>
      <c r="H9" s="19">
        <v>7463</v>
      </c>
      <c r="I9" s="19">
        <v>4400</v>
      </c>
      <c r="J9" s="19">
        <v>2584</v>
      </c>
      <c r="K9" s="21">
        <f t="shared" si="6"/>
        <v>7931</v>
      </c>
      <c r="L9" s="21">
        <f t="shared" si="6"/>
        <v>4574</v>
      </c>
      <c r="M9" s="21">
        <f t="shared" si="6"/>
        <v>2615</v>
      </c>
      <c r="O9" s="22"/>
      <c r="P9" s="18" t="s">
        <v>119</v>
      </c>
      <c r="Q9" s="19">
        <v>14</v>
      </c>
      <c r="R9" s="19">
        <v>33945</v>
      </c>
      <c r="S9" s="20">
        <f>R9-T9-U9-V9-W9-X9-Y9</f>
        <v>5625</v>
      </c>
      <c r="T9" s="19">
        <v>48</v>
      </c>
      <c r="U9" s="19">
        <v>61</v>
      </c>
      <c r="V9" s="19">
        <v>11</v>
      </c>
      <c r="W9" s="19">
        <v>3958</v>
      </c>
      <c r="X9" s="19">
        <v>15747</v>
      </c>
      <c r="Y9" s="19">
        <v>8495</v>
      </c>
      <c r="Z9" s="21">
        <f t="shared" si="7"/>
        <v>4006</v>
      </c>
      <c r="AA9" s="21">
        <f t="shared" si="8"/>
        <v>15808</v>
      </c>
      <c r="AB9" s="21">
        <f t="shared" si="9"/>
        <v>8506</v>
      </c>
    </row>
    <row r="10" spans="1:28" ht="17" thickBot="1" x14ac:dyDescent="0.25">
      <c r="A10" s="9"/>
      <c r="B10" s="9" t="s">
        <v>57</v>
      </c>
      <c r="C10" s="9">
        <f t="shared" ref="C10:M10" si="10">AVERAGE(C7:C9)</f>
        <v>19513</v>
      </c>
      <c r="D10" s="9">
        <f t="shared" si="10"/>
        <v>2677.3333333333335</v>
      </c>
      <c r="E10" s="9">
        <f t="shared" si="10"/>
        <v>382.33333333333331</v>
      </c>
      <c r="F10" s="9">
        <f t="shared" si="10"/>
        <v>117.33333333333333</v>
      </c>
      <c r="G10" s="9">
        <f t="shared" si="10"/>
        <v>48</v>
      </c>
      <c r="H10" s="9">
        <f t="shared" si="10"/>
        <v>8032.666666666667</v>
      </c>
      <c r="I10" s="9">
        <f t="shared" si="10"/>
        <v>4372.333333333333</v>
      </c>
      <c r="J10" s="9">
        <f t="shared" si="10"/>
        <v>3883</v>
      </c>
      <c r="K10" s="9">
        <f t="shared" si="10"/>
        <v>8415</v>
      </c>
      <c r="L10" s="9">
        <f t="shared" si="10"/>
        <v>4489.666666666667</v>
      </c>
      <c r="M10" s="9">
        <f t="shared" si="10"/>
        <v>3931</v>
      </c>
      <c r="O10" s="22"/>
      <c r="P10" s="9"/>
      <c r="Q10" s="9" t="s">
        <v>57</v>
      </c>
      <c r="R10" s="9">
        <f t="shared" ref="R10:AB10" si="11">AVERAGE(R7:R9)</f>
        <v>58214</v>
      </c>
      <c r="S10" s="9">
        <f t="shared" si="11"/>
        <v>6241</v>
      </c>
      <c r="T10" s="9">
        <f t="shared" si="11"/>
        <v>88.666666666666671</v>
      </c>
      <c r="U10" s="9">
        <f t="shared" si="11"/>
        <v>139.66666666666666</v>
      </c>
      <c r="V10" s="9">
        <f t="shared" si="11"/>
        <v>58.333333333333336</v>
      </c>
      <c r="W10" s="9">
        <f t="shared" si="11"/>
        <v>7028.333333333333</v>
      </c>
      <c r="X10" s="9">
        <f t="shared" si="11"/>
        <v>26808</v>
      </c>
      <c r="Y10" s="9">
        <f t="shared" si="11"/>
        <v>17850</v>
      </c>
      <c r="Z10" s="9">
        <f t="shared" si="11"/>
        <v>7117</v>
      </c>
      <c r="AA10" s="9">
        <f t="shared" si="11"/>
        <v>26947.666666666668</v>
      </c>
      <c r="AB10" s="9">
        <f t="shared" si="11"/>
        <v>17908.333333333332</v>
      </c>
    </row>
    <row r="11" spans="1:28" x14ac:dyDescent="0.2">
      <c r="A11" s="11" t="s">
        <v>59</v>
      </c>
      <c r="B11" s="12">
        <v>8</v>
      </c>
      <c r="C11" s="12">
        <v>11998</v>
      </c>
      <c r="D11" s="13">
        <f>C11-E11-F11-G11-H11-I11-J11</f>
        <v>2641</v>
      </c>
      <c r="E11" s="12">
        <v>139</v>
      </c>
      <c r="F11" s="12">
        <v>150</v>
      </c>
      <c r="G11" s="12">
        <v>23</v>
      </c>
      <c r="H11" s="12">
        <v>3138</v>
      </c>
      <c r="I11" s="12">
        <v>3939</v>
      </c>
      <c r="J11" s="12">
        <v>1968</v>
      </c>
      <c r="K11" s="14">
        <f t="shared" ref="K11:M13" si="12">SUM(E11,H11)</f>
        <v>3277</v>
      </c>
      <c r="L11" s="14">
        <f t="shared" si="12"/>
        <v>4089</v>
      </c>
      <c r="M11" s="14">
        <f t="shared" si="12"/>
        <v>1991</v>
      </c>
      <c r="O11" s="22"/>
      <c r="P11" s="11" t="s">
        <v>121</v>
      </c>
      <c r="Q11" s="12">
        <v>10</v>
      </c>
      <c r="R11" s="12">
        <v>68650</v>
      </c>
      <c r="S11" s="13">
        <f>R11-T11-U11-V11-W11-X11-Y11</f>
        <v>8054</v>
      </c>
      <c r="T11" s="12">
        <v>14</v>
      </c>
      <c r="U11" s="12">
        <v>121</v>
      </c>
      <c r="V11" s="12">
        <v>54</v>
      </c>
      <c r="W11" s="12">
        <v>3716</v>
      </c>
      <c r="X11" s="12">
        <v>33932</v>
      </c>
      <c r="Y11" s="12">
        <v>22759</v>
      </c>
      <c r="Z11" s="14">
        <f t="shared" ref="Z11:Z13" si="13">SUM(T11,W11)</f>
        <v>3730</v>
      </c>
      <c r="AA11" s="14">
        <f t="shared" ref="AA11:AA13" si="14">SUM(U11,X11)</f>
        <v>34053</v>
      </c>
      <c r="AB11" s="14">
        <f t="shared" ref="AB11:AB13" si="15">SUM(V11,Y11)</f>
        <v>22813</v>
      </c>
    </row>
    <row r="12" spans="1:28" x14ac:dyDescent="0.2">
      <c r="A12" s="15" t="s">
        <v>59</v>
      </c>
      <c r="B12" s="9">
        <v>6</v>
      </c>
      <c r="C12" s="9">
        <v>17352</v>
      </c>
      <c r="D12" s="16">
        <f>C12-E12-F12-G12-H12-I12-J12</f>
        <v>4271</v>
      </c>
      <c r="E12" s="9">
        <v>183</v>
      </c>
      <c r="F12" s="9">
        <v>205</v>
      </c>
      <c r="G12" s="9">
        <v>39</v>
      </c>
      <c r="H12" s="9">
        <v>4484</v>
      </c>
      <c r="I12" s="9">
        <v>4952</v>
      </c>
      <c r="J12" s="9">
        <v>3218</v>
      </c>
      <c r="K12" s="17">
        <f t="shared" si="12"/>
        <v>4667</v>
      </c>
      <c r="L12" s="17">
        <f t="shared" si="12"/>
        <v>5157</v>
      </c>
      <c r="M12" s="17">
        <f t="shared" si="12"/>
        <v>3257</v>
      </c>
      <c r="O12" s="22"/>
      <c r="P12" s="15" t="s">
        <v>121</v>
      </c>
      <c r="Q12" s="9">
        <v>12</v>
      </c>
      <c r="R12" s="9">
        <v>63436</v>
      </c>
      <c r="S12" s="16">
        <f>R12-T12-U12-V12-W12-X12-Y12</f>
        <v>7289</v>
      </c>
      <c r="T12" s="9">
        <v>23</v>
      </c>
      <c r="U12" s="9">
        <v>145</v>
      </c>
      <c r="V12" s="9">
        <v>55</v>
      </c>
      <c r="W12" s="9">
        <v>3843</v>
      </c>
      <c r="X12" s="9">
        <v>31440</v>
      </c>
      <c r="Y12" s="9">
        <v>20641</v>
      </c>
      <c r="Z12" s="17">
        <f t="shared" si="13"/>
        <v>3866</v>
      </c>
      <c r="AA12" s="17">
        <f t="shared" si="14"/>
        <v>31585</v>
      </c>
      <c r="AB12" s="17">
        <f t="shared" si="15"/>
        <v>20696</v>
      </c>
    </row>
    <row r="13" spans="1:28" ht="17" thickBot="1" x14ac:dyDescent="0.25">
      <c r="A13" s="18" t="s">
        <v>59</v>
      </c>
      <c r="B13" s="19">
        <v>4</v>
      </c>
      <c r="C13" s="19">
        <v>23527</v>
      </c>
      <c r="D13" s="20">
        <f>C13-E13-F13-G13-H13-I13-J13</f>
        <v>4152</v>
      </c>
      <c r="E13" s="19">
        <v>307</v>
      </c>
      <c r="F13" s="19">
        <v>282</v>
      </c>
      <c r="G13" s="19">
        <v>48</v>
      </c>
      <c r="H13" s="19">
        <v>8840</v>
      </c>
      <c r="I13" s="19">
        <v>6255</v>
      </c>
      <c r="J13" s="19">
        <v>3643</v>
      </c>
      <c r="K13" s="21">
        <f t="shared" si="12"/>
        <v>9147</v>
      </c>
      <c r="L13" s="21">
        <f t="shared" si="12"/>
        <v>6537</v>
      </c>
      <c r="M13" s="21">
        <f t="shared" si="12"/>
        <v>3691</v>
      </c>
      <c r="O13" s="22"/>
      <c r="P13" s="18" t="s">
        <v>121</v>
      </c>
      <c r="Q13" s="19">
        <v>8</v>
      </c>
      <c r="R13" s="19">
        <v>62358</v>
      </c>
      <c r="S13" s="20">
        <f>R13-T13-U13-V13-W13-X13-Y13</f>
        <v>6777</v>
      </c>
      <c r="T13" s="19">
        <v>14</v>
      </c>
      <c r="U13" s="19">
        <v>122</v>
      </c>
      <c r="V13" s="19">
        <v>42</v>
      </c>
      <c r="W13" s="19">
        <v>3136</v>
      </c>
      <c r="X13" s="19">
        <v>30985</v>
      </c>
      <c r="Y13" s="19">
        <v>21282</v>
      </c>
      <c r="Z13" s="21">
        <f t="shared" si="13"/>
        <v>3150</v>
      </c>
      <c r="AA13" s="21">
        <f t="shared" si="14"/>
        <v>31107</v>
      </c>
      <c r="AB13" s="21">
        <f t="shared" si="15"/>
        <v>21324</v>
      </c>
    </row>
    <row r="14" spans="1:28" ht="17" thickBot="1" x14ac:dyDescent="0.25">
      <c r="A14" s="9"/>
      <c r="B14" s="9" t="s">
        <v>57</v>
      </c>
      <c r="C14" s="9">
        <f t="shared" ref="C14:M14" si="16">AVERAGE(C11:C13)</f>
        <v>17625.666666666668</v>
      </c>
      <c r="D14" s="9">
        <f t="shared" si="16"/>
        <v>3688</v>
      </c>
      <c r="E14" s="9">
        <f t="shared" si="16"/>
        <v>209.66666666666666</v>
      </c>
      <c r="F14" s="9">
        <f t="shared" si="16"/>
        <v>212.33333333333334</v>
      </c>
      <c r="G14" s="9">
        <f t="shared" si="16"/>
        <v>36.666666666666664</v>
      </c>
      <c r="H14" s="9">
        <f t="shared" si="16"/>
        <v>5487.333333333333</v>
      </c>
      <c r="I14" s="9">
        <f t="shared" si="16"/>
        <v>5048.666666666667</v>
      </c>
      <c r="J14" s="9">
        <f t="shared" si="16"/>
        <v>2943</v>
      </c>
      <c r="K14" s="9">
        <f t="shared" si="16"/>
        <v>5697</v>
      </c>
      <c r="L14" s="9">
        <f t="shared" si="16"/>
        <v>5261</v>
      </c>
      <c r="M14" s="9">
        <f t="shared" si="16"/>
        <v>2979.6666666666665</v>
      </c>
      <c r="O14" s="22"/>
      <c r="P14" s="9"/>
      <c r="Q14" s="9" t="s">
        <v>57</v>
      </c>
      <c r="R14" s="9">
        <f t="shared" ref="R14:AB14" si="17">AVERAGE(R11:R13)</f>
        <v>64814.666666666664</v>
      </c>
      <c r="S14" s="9">
        <f t="shared" si="17"/>
        <v>7373.333333333333</v>
      </c>
      <c r="T14" s="9">
        <f t="shared" si="17"/>
        <v>17</v>
      </c>
      <c r="U14" s="9">
        <f t="shared" si="17"/>
        <v>129.33333333333334</v>
      </c>
      <c r="V14" s="9">
        <f t="shared" si="17"/>
        <v>50.333333333333336</v>
      </c>
      <c r="W14" s="9">
        <f t="shared" si="17"/>
        <v>3565</v>
      </c>
      <c r="X14" s="9">
        <f t="shared" si="17"/>
        <v>32119</v>
      </c>
      <c r="Y14" s="9">
        <f t="shared" si="17"/>
        <v>21560.666666666668</v>
      </c>
      <c r="Z14" s="9">
        <f t="shared" si="17"/>
        <v>3582</v>
      </c>
      <c r="AA14" s="9">
        <f t="shared" si="17"/>
        <v>32248.333333333332</v>
      </c>
      <c r="AB14" s="9">
        <f t="shared" si="17"/>
        <v>21611</v>
      </c>
    </row>
    <row r="15" spans="1:28" x14ac:dyDescent="0.2">
      <c r="A15" s="11" t="s">
        <v>60</v>
      </c>
      <c r="B15" s="12">
        <v>7</v>
      </c>
      <c r="C15" s="12">
        <v>72169</v>
      </c>
      <c r="D15" s="13">
        <f>C15-E15-F15-G15-H15-I15-J15</f>
        <v>4231</v>
      </c>
      <c r="E15" s="12">
        <v>835</v>
      </c>
      <c r="F15" s="12">
        <v>1652</v>
      </c>
      <c r="G15" s="12">
        <v>660</v>
      </c>
      <c r="H15" s="12">
        <v>14865</v>
      </c>
      <c r="I15" s="12">
        <v>33894</v>
      </c>
      <c r="J15" s="12">
        <v>16032</v>
      </c>
      <c r="K15" s="14">
        <f t="shared" ref="K15:M17" si="18">SUM(E15,H15)</f>
        <v>15700</v>
      </c>
      <c r="L15" s="14">
        <f t="shared" si="18"/>
        <v>35546</v>
      </c>
      <c r="M15" s="14">
        <f t="shared" si="18"/>
        <v>16692</v>
      </c>
      <c r="O15" s="22"/>
      <c r="P15" s="11" t="s">
        <v>123</v>
      </c>
      <c r="Q15" s="12">
        <v>11</v>
      </c>
      <c r="R15" s="12">
        <v>53224</v>
      </c>
      <c r="S15" s="13">
        <f>R15-T15-U15-V15-W15-X15-Y15</f>
        <v>6967</v>
      </c>
      <c r="T15" s="12">
        <v>4</v>
      </c>
      <c r="U15" s="12">
        <v>34</v>
      </c>
      <c r="V15" s="12">
        <v>12</v>
      </c>
      <c r="W15" s="12">
        <v>1681</v>
      </c>
      <c r="X15" s="12">
        <v>29720</v>
      </c>
      <c r="Y15" s="12">
        <v>14806</v>
      </c>
      <c r="Z15" s="14">
        <f t="shared" ref="Z15:Z17" si="19">SUM(T15,W15)</f>
        <v>1685</v>
      </c>
      <c r="AA15" s="14">
        <f t="shared" ref="AA15:AA17" si="20">SUM(U15,X15)</f>
        <v>29754</v>
      </c>
      <c r="AB15" s="14">
        <f t="shared" ref="AB15:AB17" si="21">SUM(V15,Y15)</f>
        <v>14818</v>
      </c>
    </row>
    <row r="16" spans="1:28" x14ac:dyDescent="0.2">
      <c r="A16" s="15" t="s">
        <v>60</v>
      </c>
      <c r="B16" s="9">
        <v>9</v>
      </c>
      <c r="C16" s="9">
        <v>63421</v>
      </c>
      <c r="D16" s="16">
        <f>C16-E16-F16-G16-H16-I16-J16</f>
        <v>3085</v>
      </c>
      <c r="E16" s="9">
        <v>745</v>
      </c>
      <c r="F16" s="9">
        <v>1597</v>
      </c>
      <c r="G16" s="9">
        <v>570</v>
      </c>
      <c r="H16" s="9">
        <v>13010</v>
      </c>
      <c r="I16" s="9">
        <v>30448</v>
      </c>
      <c r="J16" s="9">
        <v>13966</v>
      </c>
      <c r="K16" s="17">
        <f t="shared" si="18"/>
        <v>13755</v>
      </c>
      <c r="L16" s="17">
        <f t="shared" si="18"/>
        <v>32045</v>
      </c>
      <c r="M16" s="17">
        <f t="shared" si="18"/>
        <v>14536</v>
      </c>
      <c r="O16" s="22"/>
      <c r="P16" s="15" t="s">
        <v>123</v>
      </c>
      <c r="Q16" s="9">
        <v>14</v>
      </c>
      <c r="R16" s="9">
        <v>35727</v>
      </c>
      <c r="S16" s="16">
        <f>R16-T16-U16-V16-W16-X16-Y16</f>
        <v>4842</v>
      </c>
      <c r="T16" s="9">
        <v>1</v>
      </c>
      <c r="U16" s="9">
        <v>11</v>
      </c>
      <c r="V16" s="9">
        <v>8</v>
      </c>
      <c r="W16" s="9">
        <v>736</v>
      </c>
      <c r="X16" s="9">
        <v>20150</v>
      </c>
      <c r="Y16" s="9">
        <v>9979</v>
      </c>
      <c r="Z16" s="17">
        <f t="shared" si="19"/>
        <v>737</v>
      </c>
      <c r="AA16" s="17">
        <f t="shared" si="20"/>
        <v>20161</v>
      </c>
      <c r="AB16" s="17">
        <f t="shared" si="21"/>
        <v>9987</v>
      </c>
    </row>
    <row r="17" spans="1:28" ht="17" thickBot="1" x14ac:dyDescent="0.25">
      <c r="A17" s="18" t="s">
        <v>60</v>
      </c>
      <c r="B17" s="19">
        <v>11</v>
      </c>
      <c r="C17" s="19">
        <v>32392</v>
      </c>
      <c r="D17" s="20">
        <f>C17-E17-F17-G17-H17-I17-J17</f>
        <v>1536</v>
      </c>
      <c r="E17" s="19">
        <v>274</v>
      </c>
      <c r="F17" s="19">
        <v>752</v>
      </c>
      <c r="G17" s="19">
        <v>179</v>
      </c>
      <c r="H17" s="19">
        <v>6669</v>
      </c>
      <c r="I17" s="19">
        <v>16941</v>
      </c>
      <c r="J17" s="19">
        <v>6041</v>
      </c>
      <c r="K17" s="21">
        <f t="shared" si="18"/>
        <v>6943</v>
      </c>
      <c r="L17" s="21">
        <f t="shared" si="18"/>
        <v>17693</v>
      </c>
      <c r="M17" s="21">
        <f t="shared" si="18"/>
        <v>6220</v>
      </c>
      <c r="O17" s="22"/>
      <c r="P17" s="18" t="s">
        <v>123</v>
      </c>
      <c r="Q17" s="19">
        <v>16</v>
      </c>
      <c r="R17" s="19">
        <v>20115</v>
      </c>
      <c r="S17" s="20">
        <f>R17-T17-U17-V17-W17-X17-Y17</f>
        <v>4064</v>
      </c>
      <c r="T17" s="19">
        <v>2</v>
      </c>
      <c r="U17" s="19">
        <v>6</v>
      </c>
      <c r="V17" s="19">
        <v>3</v>
      </c>
      <c r="W17" s="19">
        <v>475</v>
      </c>
      <c r="X17" s="19">
        <v>10639</v>
      </c>
      <c r="Y17" s="19">
        <v>4926</v>
      </c>
      <c r="Z17" s="21">
        <f t="shared" si="19"/>
        <v>477</v>
      </c>
      <c r="AA17" s="21">
        <f t="shared" si="20"/>
        <v>10645</v>
      </c>
      <c r="AB17" s="21">
        <f t="shared" si="21"/>
        <v>4929</v>
      </c>
    </row>
    <row r="18" spans="1:28" ht="17" thickBot="1" x14ac:dyDescent="0.25">
      <c r="A18" s="9"/>
      <c r="B18" s="9" t="s">
        <v>57</v>
      </c>
      <c r="C18" s="9">
        <f t="shared" ref="C18:M18" si="22">AVERAGE(C15:C17)</f>
        <v>55994</v>
      </c>
      <c r="D18" s="9">
        <f t="shared" si="22"/>
        <v>2950.6666666666665</v>
      </c>
      <c r="E18" s="9">
        <f t="shared" si="22"/>
        <v>618</v>
      </c>
      <c r="F18" s="9">
        <f t="shared" si="22"/>
        <v>1333.6666666666667</v>
      </c>
      <c r="G18" s="9">
        <f t="shared" si="22"/>
        <v>469.66666666666669</v>
      </c>
      <c r="H18" s="9">
        <f t="shared" si="22"/>
        <v>11514.666666666666</v>
      </c>
      <c r="I18" s="9">
        <f t="shared" si="22"/>
        <v>27094.333333333332</v>
      </c>
      <c r="J18" s="9">
        <f t="shared" si="22"/>
        <v>12013</v>
      </c>
      <c r="K18" s="9">
        <f t="shared" si="22"/>
        <v>12132.666666666666</v>
      </c>
      <c r="L18" s="9">
        <f t="shared" si="22"/>
        <v>28428</v>
      </c>
      <c r="M18" s="9">
        <f t="shared" si="22"/>
        <v>12482.666666666666</v>
      </c>
      <c r="O18" s="22"/>
      <c r="P18" s="9"/>
      <c r="Q18" s="9" t="s">
        <v>57</v>
      </c>
      <c r="R18" s="9">
        <f t="shared" ref="R18:AB18" si="23">AVERAGE(R15:R17)</f>
        <v>36355.333333333336</v>
      </c>
      <c r="S18" s="9">
        <f t="shared" si="23"/>
        <v>5291</v>
      </c>
      <c r="T18" s="9">
        <f t="shared" si="23"/>
        <v>2.3333333333333335</v>
      </c>
      <c r="U18" s="9">
        <f t="shared" si="23"/>
        <v>17</v>
      </c>
      <c r="V18" s="9">
        <f t="shared" si="23"/>
        <v>7.666666666666667</v>
      </c>
      <c r="W18" s="9">
        <f t="shared" si="23"/>
        <v>964</v>
      </c>
      <c r="X18" s="9">
        <f t="shared" si="23"/>
        <v>20169.666666666668</v>
      </c>
      <c r="Y18" s="9">
        <f t="shared" si="23"/>
        <v>9903.6666666666661</v>
      </c>
      <c r="Z18" s="9">
        <f t="shared" si="23"/>
        <v>966.33333333333337</v>
      </c>
      <c r="AA18" s="9">
        <f t="shared" si="23"/>
        <v>20186.666666666668</v>
      </c>
      <c r="AB18" s="9">
        <f t="shared" si="23"/>
        <v>9911.3333333333339</v>
      </c>
    </row>
    <row r="19" spans="1:28" x14ac:dyDescent="0.2">
      <c r="A19" s="11" t="s">
        <v>61</v>
      </c>
      <c r="B19" s="12">
        <v>7</v>
      </c>
      <c r="C19" s="12">
        <v>65841</v>
      </c>
      <c r="D19" s="13">
        <f>C19-E19-F19-G19-H19-I19-J19</f>
        <v>5372</v>
      </c>
      <c r="E19" s="12">
        <v>456</v>
      </c>
      <c r="F19" s="12">
        <v>248</v>
      </c>
      <c r="G19" s="12">
        <v>290</v>
      </c>
      <c r="H19" s="12">
        <v>27275</v>
      </c>
      <c r="I19" s="12">
        <v>18787</v>
      </c>
      <c r="J19" s="12">
        <v>13413</v>
      </c>
      <c r="K19" s="14">
        <f t="shared" ref="K19:M21" si="24">SUM(E19,H19)</f>
        <v>27731</v>
      </c>
      <c r="L19" s="14">
        <f t="shared" si="24"/>
        <v>19035</v>
      </c>
      <c r="M19" s="14">
        <f t="shared" si="24"/>
        <v>13703</v>
      </c>
      <c r="O19" s="22"/>
      <c r="P19" s="11" t="s">
        <v>125</v>
      </c>
      <c r="Q19" s="12">
        <v>10</v>
      </c>
      <c r="R19" s="12">
        <v>45148</v>
      </c>
      <c r="S19" s="13">
        <f>R19-T19-U19-V19-W19-X19-Y19</f>
        <v>5936</v>
      </c>
      <c r="T19" s="12">
        <v>11</v>
      </c>
      <c r="U19" s="12">
        <v>54</v>
      </c>
      <c r="V19" s="12">
        <v>18</v>
      </c>
      <c r="W19" s="12">
        <v>2482</v>
      </c>
      <c r="X19" s="12">
        <v>22872</v>
      </c>
      <c r="Y19" s="12">
        <v>13775</v>
      </c>
      <c r="Z19" s="14">
        <f t="shared" ref="Z19:Z21" si="25">SUM(T19,W19)</f>
        <v>2493</v>
      </c>
      <c r="AA19" s="14">
        <f t="shared" ref="AA19:AA21" si="26">SUM(U19,X19)</f>
        <v>22926</v>
      </c>
      <c r="AB19" s="14">
        <f t="shared" ref="AB19:AB21" si="27">SUM(V19,Y19)</f>
        <v>13793</v>
      </c>
    </row>
    <row r="20" spans="1:28" x14ac:dyDescent="0.2">
      <c r="A20" s="15" t="s">
        <v>61</v>
      </c>
      <c r="B20" s="9">
        <v>9</v>
      </c>
      <c r="C20" s="9">
        <v>25070</v>
      </c>
      <c r="D20" s="16">
        <f>C20-E20-F20-G20-H20-I20-J20</f>
        <v>2440</v>
      </c>
      <c r="E20" s="9">
        <v>184</v>
      </c>
      <c r="F20" s="9">
        <v>118</v>
      </c>
      <c r="G20" s="9">
        <v>89</v>
      </c>
      <c r="H20" s="9">
        <v>10239</v>
      </c>
      <c r="I20" s="9">
        <v>7329</v>
      </c>
      <c r="J20" s="9">
        <v>4671</v>
      </c>
      <c r="K20" s="17">
        <f t="shared" si="24"/>
        <v>10423</v>
      </c>
      <c r="L20" s="17">
        <f t="shared" si="24"/>
        <v>7447</v>
      </c>
      <c r="M20" s="17">
        <f t="shared" si="24"/>
        <v>4760</v>
      </c>
      <c r="O20" s="22"/>
      <c r="P20" s="15" t="s">
        <v>125</v>
      </c>
      <c r="Q20" s="9">
        <v>13</v>
      </c>
      <c r="R20" s="9">
        <v>11997</v>
      </c>
      <c r="S20" s="16">
        <f>R20-T20-U20-V20-W20-X20-Y20</f>
        <v>4273</v>
      </c>
      <c r="T20" s="9">
        <v>3</v>
      </c>
      <c r="U20" s="9">
        <v>5</v>
      </c>
      <c r="V20" s="9">
        <v>4</v>
      </c>
      <c r="W20" s="9">
        <v>727</v>
      </c>
      <c r="X20" s="9">
        <v>4254</v>
      </c>
      <c r="Y20" s="9">
        <v>2731</v>
      </c>
      <c r="Z20" s="17">
        <f t="shared" si="25"/>
        <v>730</v>
      </c>
      <c r="AA20" s="17">
        <f t="shared" si="26"/>
        <v>4259</v>
      </c>
      <c r="AB20" s="17">
        <f t="shared" si="27"/>
        <v>2735</v>
      </c>
    </row>
    <row r="21" spans="1:28" ht="17" thickBot="1" x14ac:dyDescent="0.25">
      <c r="A21" s="18" t="s">
        <v>61</v>
      </c>
      <c r="B21" s="19">
        <v>5</v>
      </c>
      <c r="C21" s="19">
        <v>70700</v>
      </c>
      <c r="D21" s="20">
        <f>C21-E21-F21-G21-H21-I21-J21</f>
        <v>5192</v>
      </c>
      <c r="E21" s="19">
        <v>575</v>
      </c>
      <c r="F21" s="19">
        <v>346</v>
      </c>
      <c r="G21" s="19">
        <v>350</v>
      </c>
      <c r="H21" s="19">
        <v>30547</v>
      </c>
      <c r="I21" s="19">
        <v>19452</v>
      </c>
      <c r="J21" s="19">
        <v>14238</v>
      </c>
      <c r="K21" s="21">
        <f t="shared" si="24"/>
        <v>31122</v>
      </c>
      <c r="L21" s="21">
        <f t="shared" si="24"/>
        <v>19798</v>
      </c>
      <c r="M21" s="21">
        <f t="shared" si="24"/>
        <v>14588</v>
      </c>
      <c r="O21" s="22"/>
      <c r="P21" s="18" t="s">
        <v>125</v>
      </c>
      <c r="Q21" s="19">
        <v>7</v>
      </c>
      <c r="R21" s="19">
        <v>80365</v>
      </c>
      <c r="S21" s="20">
        <f>R21-T21-U21-V21-W21-X21-Y21</f>
        <v>5580</v>
      </c>
      <c r="T21" s="19">
        <v>11</v>
      </c>
      <c r="U21" s="19">
        <v>154</v>
      </c>
      <c r="V21" s="19">
        <v>48</v>
      </c>
      <c r="W21" s="19">
        <v>4638</v>
      </c>
      <c r="X21" s="19">
        <v>42027</v>
      </c>
      <c r="Y21" s="19">
        <v>27907</v>
      </c>
      <c r="Z21" s="21">
        <f t="shared" si="25"/>
        <v>4649</v>
      </c>
      <c r="AA21" s="21">
        <f t="shared" si="26"/>
        <v>42181</v>
      </c>
      <c r="AB21" s="21">
        <f t="shared" si="27"/>
        <v>27955</v>
      </c>
    </row>
    <row r="22" spans="1:28" ht="17" thickBot="1" x14ac:dyDescent="0.25">
      <c r="A22" s="9"/>
      <c r="B22" s="9" t="s">
        <v>57</v>
      </c>
      <c r="C22" s="9">
        <f t="shared" ref="C22:M22" si="28">AVERAGE(C19:C21)</f>
        <v>53870.333333333336</v>
      </c>
      <c r="D22" s="9">
        <f t="shared" si="28"/>
        <v>4334.666666666667</v>
      </c>
      <c r="E22" s="9">
        <f t="shared" si="28"/>
        <v>405</v>
      </c>
      <c r="F22" s="9">
        <f t="shared" si="28"/>
        <v>237.33333333333334</v>
      </c>
      <c r="G22" s="9">
        <f t="shared" si="28"/>
        <v>243</v>
      </c>
      <c r="H22" s="9">
        <f t="shared" si="28"/>
        <v>22687</v>
      </c>
      <c r="I22" s="9">
        <f t="shared" si="28"/>
        <v>15189.333333333334</v>
      </c>
      <c r="J22" s="9">
        <f t="shared" si="28"/>
        <v>10774</v>
      </c>
      <c r="K22" s="9">
        <f t="shared" si="28"/>
        <v>23092</v>
      </c>
      <c r="L22" s="9">
        <f t="shared" si="28"/>
        <v>15426.666666666666</v>
      </c>
      <c r="M22" s="9">
        <f t="shared" si="28"/>
        <v>11017</v>
      </c>
      <c r="O22" s="22"/>
      <c r="P22" s="9"/>
      <c r="Q22" s="9" t="s">
        <v>57</v>
      </c>
      <c r="R22" s="9">
        <f t="shared" ref="R22:AB22" si="29">AVERAGE(R19:R21)</f>
        <v>45836.666666666664</v>
      </c>
      <c r="S22" s="9">
        <f t="shared" si="29"/>
        <v>5263</v>
      </c>
      <c r="T22" s="9">
        <f t="shared" si="29"/>
        <v>8.3333333333333339</v>
      </c>
      <c r="U22" s="9">
        <f t="shared" si="29"/>
        <v>71</v>
      </c>
      <c r="V22" s="9">
        <f t="shared" si="29"/>
        <v>23.333333333333332</v>
      </c>
      <c r="W22" s="9">
        <f t="shared" si="29"/>
        <v>2615.6666666666665</v>
      </c>
      <c r="X22" s="9">
        <f t="shared" si="29"/>
        <v>23051</v>
      </c>
      <c r="Y22" s="9">
        <f t="shared" si="29"/>
        <v>14804.333333333334</v>
      </c>
      <c r="Z22" s="9">
        <f t="shared" si="29"/>
        <v>2624</v>
      </c>
      <c r="AA22" s="9">
        <f t="shared" si="29"/>
        <v>23122</v>
      </c>
      <c r="AB22" s="9">
        <f t="shared" si="29"/>
        <v>14827.666666666666</v>
      </c>
    </row>
    <row r="23" spans="1:28" x14ac:dyDescent="0.2">
      <c r="A23" s="11" t="s">
        <v>62</v>
      </c>
      <c r="B23" s="12">
        <v>14</v>
      </c>
      <c r="C23" s="12">
        <v>21161</v>
      </c>
      <c r="D23" s="13">
        <f>C23-E23-F23-G23-H23-I23-J23</f>
        <v>1978</v>
      </c>
      <c r="E23" s="12">
        <v>493</v>
      </c>
      <c r="F23" s="12">
        <v>241</v>
      </c>
      <c r="G23" s="12">
        <v>127</v>
      </c>
      <c r="H23" s="12">
        <v>7149</v>
      </c>
      <c r="I23" s="12">
        <v>6288</v>
      </c>
      <c r="J23" s="12">
        <v>4885</v>
      </c>
      <c r="K23" s="14">
        <f t="shared" ref="K23:M25" si="30">SUM(E23,H23)</f>
        <v>7642</v>
      </c>
      <c r="L23" s="14">
        <f t="shared" si="30"/>
        <v>6529</v>
      </c>
      <c r="M23" s="14">
        <f t="shared" si="30"/>
        <v>5012</v>
      </c>
      <c r="O23" s="22"/>
      <c r="P23" s="11" t="s">
        <v>137</v>
      </c>
      <c r="Q23" s="12">
        <v>14</v>
      </c>
      <c r="R23" s="12">
        <v>37060</v>
      </c>
      <c r="S23" s="13">
        <f t="shared" ref="S23:S28" si="31">R23-T23-U23-V23-W23-X23-Y23</f>
        <v>2112</v>
      </c>
      <c r="T23" s="12">
        <v>349</v>
      </c>
      <c r="U23" s="12">
        <v>248</v>
      </c>
      <c r="V23" s="12">
        <v>70</v>
      </c>
      <c r="W23" s="12">
        <v>10791</v>
      </c>
      <c r="X23" s="12">
        <v>14968</v>
      </c>
      <c r="Y23" s="12">
        <v>8522</v>
      </c>
      <c r="Z23" s="14">
        <f t="shared" ref="Z23:Z24" si="32">SUM(T23,W23)</f>
        <v>11140</v>
      </c>
      <c r="AA23" s="14">
        <f t="shared" ref="AA23:AA24" si="33">SUM(U23,X23)</f>
        <v>15216</v>
      </c>
      <c r="AB23" s="14">
        <f t="shared" ref="AB23:AB24" si="34">SUM(V23,Y23)</f>
        <v>8592</v>
      </c>
    </row>
    <row r="24" spans="1:28" x14ac:dyDescent="0.2">
      <c r="A24" s="15" t="s">
        <v>62</v>
      </c>
      <c r="B24" s="9">
        <v>12</v>
      </c>
      <c r="C24" s="9">
        <v>28300</v>
      </c>
      <c r="D24" s="16">
        <f>C24-E24-F24-G24-H24-I24-J24</f>
        <v>2642</v>
      </c>
      <c r="E24" s="9">
        <v>524</v>
      </c>
      <c r="F24" s="9">
        <v>280</v>
      </c>
      <c r="G24" s="9">
        <v>179</v>
      </c>
      <c r="H24" s="9">
        <v>9665</v>
      </c>
      <c r="I24" s="9">
        <v>8025</v>
      </c>
      <c r="J24" s="9">
        <v>6985</v>
      </c>
      <c r="K24" s="17">
        <f t="shared" si="30"/>
        <v>10189</v>
      </c>
      <c r="L24" s="17">
        <f t="shared" si="30"/>
        <v>8305</v>
      </c>
      <c r="M24" s="17">
        <f t="shared" si="30"/>
        <v>7164</v>
      </c>
      <c r="O24" s="22"/>
      <c r="P24" s="15" t="s">
        <v>137</v>
      </c>
      <c r="Q24" s="9">
        <v>12</v>
      </c>
      <c r="R24" s="9">
        <v>44286</v>
      </c>
      <c r="S24" s="16">
        <f t="shared" si="31"/>
        <v>2380</v>
      </c>
      <c r="T24" s="9">
        <v>387</v>
      </c>
      <c r="U24" s="9">
        <v>271</v>
      </c>
      <c r="V24" s="9">
        <v>118</v>
      </c>
      <c r="W24" s="9">
        <v>13410</v>
      </c>
      <c r="X24" s="9">
        <v>17465</v>
      </c>
      <c r="Y24" s="9">
        <v>10255</v>
      </c>
      <c r="Z24" s="17">
        <f t="shared" si="32"/>
        <v>13797</v>
      </c>
      <c r="AA24" s="17">
        <f t="shared" si="33"/>
        <v>17736</v>
      </c>
      <c r="AB24" s="17">
        <f t="shared" si="34"/>
        <v>10373</v>
      </c>
    </row>
    <row r="25" spans="1:28" ht="17" thickBot="1" x14ac:dyDescent="0.25">
      <c r="A25" s="18" t="s">
        <v>62</v>
      </c>
      <c r="B25" s="19">
        <v>6</v>
      </c>
      <c r="C25" s="19">
        <v>20873</v>
      </c>
      <c r="D25" s="20">
        <f>C25-E25-F25-G25-H25-I25-J25</f>
        <v>2279</v>
      </c>
      <c r="E25" s="19">
        <v>394</v>
      </c>
      <c r="F25" s="19">
        <v>214</v>
      </c>
      <c r="G25" s="19">
        <v>145</v>
      </c>
      <c r="H25" s="19">
        <v>7088</v>
      </c>
      <c r="I25" s="19">
        <v>6509</v>
      </c>
      <c r="J25" s="19">
        <v>4244</v>
      </c>
      <c r="K25" s="21">
        <f t="shared" si="30"/>
        <v>7482</v>
      </c>
      <c r="L25" s="21">
        <f t="shared" si="30"/>
        <v>6723</v>
      </c>
      <c r="M25" s="21">
        <f t="shared" si="30"/>
        <v>4389</v>
      </c>
      <c r="O25" s="22"/>
      <c r="P25" s="15" t="s">
        <v>137</v>
      </c>
      <c r="Q25" s="9">
        <v>9</v>
      </c>
      <c r="R25" s="9">
        <v>38306</v>
      </c>
      <c r="S25" s="16">
        <f t="shared" si="31"/>
        <v>2055</v>
      </c>
      <c r="T25" s="9">
        <v>337</v>
      </c>
      <c r="U25" s="9">
        <v>210</v>
      </c>
      <c r="V25" s="9">
        <v>142</v>
      </c>
      <c r="W25" s="9">
        <v>11313</v>
      </c>
      <c r="X25" s="9">
        <v>13945</v>
      </c>
      <c r="Y25" s="9">
        <v>10304</v>
      </c>
      <c r="Z25" s="17">
        <f t="shared" ref="Z25:Z27" si="35">SUM(T25,W25)</f>
        <v>11650</v>
      </c>
      <c r="AA25" s="17">
        <f t="shared" ref="AA25:AA27" si="36">SUM(U25,X25)</f>
        <v>14155</v>
      </c>
      <c r="AB25" s="17">
        <f t="shared" ref="AB25:AB27" si="37">SUM(V25,Y25)</f>
        <v>10446</v>
      </c>
    </row>
    <row r="26" spans="1:28" ht="17" thickBot="1" x14ac:dyDescent="0.25">
      <c r="A26" s="9"/>
      <c r="B26" s="9" t="s">
        <v>57</v>
      </c>
      <c r="C26" s="9">
        <f t="shared" ref="C26:M26" si="38">AVERAGE(C23:C25)</f>
        <v>23444.666666666668</v>
      </c>
      <c r="D26" s="9">
        <f t="shared" si="38"/>
        <v>2299.6666666666665</v>
      </c>
      <c r="E26" s="9">
        <f t="shared" si="38"/>
        <v>470.33333333333331</v>
      </c>
      <c r="F26" s="9">
        <f t="shared" si="38"/>
        <v>245</v>
      </c>
      <c r="G26" s="9">
        <f t="shared" si="38"/>
        <v>150.33333333333334</v>
      </c>
      <c r="H26" s="9">
        <f t="shared" si="38"/>
        <v>7967.333333333333</v>
      </c>
      <c r="I26" s="9">
        <f t="shared" si="38"/>
        <v>6940.666666666667</v>
      </c>
      <c r="J26" s="9">
        <f t="shared" si="38"/>
        <v>5371.333333333333</v>
      </c>
      <c r="K26" s="9">
        <f t="shared" si="38"/>
        <v>8437.6666666666661</v>
      </c>
      <c r="L26" s="9">
        <f t="shared" si="38"/>
        <v>7185.666666666667</v>
      </c>
      <c r="M26" s="9">
        <f t="shared" si="38"/>
        <v>5521.666666666667</v>
      </c>
      <c r="O26" s="22"/>
      <c r="P26" s="15" t="s">
        <v>137</v>
      </c>
      <c r="Q26" s="9">
        <v>0</v>
      </c>
      <c r="R26" s="9">
        <v>22404</v>
      </c>
      <c r="S26" s="16">
        <f t="shared" si="31"/>
        <v>1435</v>
      </c>
      <c r="T26" s="9">
        <v>226</v>
      </c>
      <c r="U26" s="9">
        <v>96</v>
      </c>
      <c r="V26" s="9">
        <v>139</v>
      </c>
      <c r="W26" s="9">
        <v>6292</v>
      </c>
      <c r="X26" s="9">
        <v>6763</v>
      </c>
      <c r="Y26" s="9">
        <v>7453</v>
      </c>
      <c r="Z26" s="17">
        <f t="shared" si="35"/>
        <v>6518</v>
      </c>
      <c r="AA26" s="17">
        <f t="shared" si="36"/>
        <v>6859</v>
      </c>
      <c r="AB26" s="17">
        <f t="shared" si="37"/>
        <v>7592</v>
      </c>
    </row>
    <row r="27" spans="1:28" x14ac:dyDescent="0.2">
      <c r="A27" s="11" t="s">
        <v>63</v>
      </c>
      <c r="B27" s="12">
        <v>6</v>
      </c>
      <c r="C27" s="12">
        <v>129140</v>
      </c>
      <c r="D27" s="13">
        <f>C27-E27-F27-G27-H27-I27-J27</f>
        <v>6906</v>
      </c>
      <c r="E27" s="12">
        <v>1505</v>
      </c>
      <c r="F27" s="12">
        <v>1938</v>
      </c>
      <c r="G27" s="12">
        <v>2172</v>
      </c>
      <c r="H27" s="12">
        <v>26095</v>
      </c>
      <c r="I27" s="12">
        <v>46747</v>
      </c>
      <c r="J27" s="12">
        <v>43777</v>
      </c>
      <c r="K27" s="14">
        <f t="shared" ref="K27:M29" si="39">SUM(E27,H27)</f>
        <v>27600</v>
      </c>
      <c r="L27" s="14">
        <f t="shared" si="39"/>
        <v>48685</v>
      </c>
      <c r="M27" s="14">
        <f t="shared" si="39"/>
        <v>45949</v>
      </c>
      <c r="O27" s="22"/>
      <c r="P27" s="15" t="s">
        <v>137</v>
      </c>
      <c r="Q27" s="9">
        <v>4</v>
      </c>
      <c r="R27" s="9">
        <v>19689</v>
      </c>
      <c r="S27" s="16">
        <f t="shared" si="31"/>
        <v>1217</v>
      </c>
      <c r="T27" s="9">
        <v>207</v>
      </c>
      <c r="U27" s="9">
        <v>76</v>
      </c>
      <c r="V27" s="9">
        <v>98</v>
      </c>
      <c r="W27" s="9">
        <v>5463</v>
      </c>
      <c r="X27" s="9">
        <v>6044</v>
      </c>
      <c r="Y27" s="9">
        <v>6584</v>
      </c>
      <c r="Z27" s="17">
        <f t="shared" si="35"/>
        <v>5670</v>
      </c>
      <c r="AA27" s="17">
        <f t="shared" si="36"/>
        <v>6120</v>
      </c>
      <c r="AB27" s="17">
        <f t="shared" si="37"/>
        <v>6682</v>
      </c>
    </row>
    <row r="28" spans="1:28" ht="17" thickBot="1" x14ac:dyDescent="0.25">
      <c r="A28" s="15" t="s">
        <v>63</v>
      </c>
      <c r="B28" s="9">
        <v>8</v>
      </c>
      <c r="C28" s="9">
        <v>133836</v>
      </c>
      <c r="D28" s="16">
        <f>C28-E28-F28-G28-H28-I28-J28</f>
        <v>6921</v>
      </c>
      <c r="E28" s="9">
        <v>1321</v>
      </c>
      <c r="F28" s="9">
        <v>1936</v>
      </c>
      <c r="G28" s="9">
        <v>2135</v>
      </c>
      <c r="H28" s="9">
        <v>26752</v>
      </c>
      <c r="I28" s="9">
        <v>48409</v>
      </c>
      <c r="J28" s="9">
        <v>46362</v>
      </c>
      <c r="K28" s="17">
        <f t="shared" si="39"/>
        <v>28073</v>
      </c>
      <c r="L28" s="17">
        <f t="shared" si="39"/>
        <v>50345</v>
      </c>
      <c r="M28" s="17">
        <f t="shared" si="39"/>
        <v>48497</v>
      </c>
      <c r="O28" s="22"/>
      <c r="P28" s="18" t="s">
        <v>137</v>
      </c>
      <c r="Q28" s="19">
        <v>6</v>
      </c>
      <c r="R28" s="19">
        <v>23266</v>
      </c>
      <c r="S28" s="20">
        <f t="shared" si="31"/>
        <v>1632</v>
      </c>
      <c r="T28" s="19">
        <v>239</v>
      </c>
      <c r="U28" s="19">
        <v>102</v>
      </c>
      <c r="V28" s="19">
        <v>102</v>
      </c>
      <c r="W28" s="19">
        <v>6461</v>
      </c>
      <c r="X28" s="19">
        <v>7447</v>
      </c>
      <c r="Y28" s="19">
        <v>7283</v>
      </c>
      <c r="Z28" s="21">
        <f>SUM(T28,W28)</f>
        <v>6700</v>
      </c>
      <c r="AA28" s="21">
        <f>SUM(U28,X28)</f>
        <v>7549</v>
      </c>
      <c r="AB28" s="21">
        <f>SUM(V28,Y28)</f>
        <v>7385</v>
      </c>
    </row>
    <row r="29" spans="1:28" ht="17" thickBot="1" x14ac:dyDescent="0.25">
      <c r="A29" s="18" t="s">
        <v>63</v>
      </c>
      <c r="B29" s="19">
        <v>4</v>
      </c>
      <c r="C29" s="19">
        <v>77389</v>
      </c>
      <c r="D29" s="20">
        <f>C29-E29-F29-G29-H29-I29-J29</f>
        <v>5295</v>
      </c>
      <c r="E29" s="19">
        <v>896</v>
      </c>
      <c r="F29" s="19">
        <v>1128</v>
      </c>
      <c r="G29" s="19">
        <v>1231</v>
      </c>
      <c r="H29" s="19">
        <v>15603</v>
      </c>
      <c r="I29" s="19">
        <v>27532</v>
      </c>
      <c r="J29" s="19">
        <v>25704</v>
      </c>
      <c r="K29" s="21">
        <f t="shared" si="39"/>
        <v>16499</v>
      </c>
      <c r="L29" s="21">
        <f t="shared" si="39"/>
        <v>28660</v>
      </c>
      <c r="M29" s="21">
        <f t="shared" si="39"/>
        <v>26935</v>
      </c>
      <c r="O29" s="22"/>
      <c r="P29" s="9"/>
      <c r="Q29" s="9" t="s">
        <v>57</v>
      </c>
      <c r="R29" s="9">
        <f t="shared" ref="R29:AB29" si="40">AVERAGE(R23:R28)</f>
        <v>30835.166666666668</v>
      </c>
      <c r="S29" s="9">
        <f t="shared" si="40"/>
        <v>1805.1666666666667</v>
      </c>
      <c r="T29" s="9">
        <f t="shared" si="40"/>
        <v>290.83333333333331</v>
      </c>
      <c r="U29" s="9">
        <f t="shared" si="40"/>
        <v>167.16666666666666</v>
      </c>
      <c r="V29" s="9">
        <f t="shared" si="40"/>
        <v>111.5</v>
      </c>
      <c r="W29" s="9">
        <f t="shared" si="40"/>
        <v>8955</v>
      </c>
      <c r="X29" s="9">
        <f t="shared" si="40"/>
        <v>11105.333333333334</v>
      </c>
      <c r="Y29" s="9">
        <f t="shared" si="40"/>
        <v>8400.1666666666661</v>
      </c>
      <c r="Z29" s="9">
        <f t="shared" si="40"/>
        <v>9245.8333333333339</v>
      </c>
      <c r="AA29" s="9">
        <f t="shared" si="40"/>
        <v>11272.5</v>
      </c>
      <c r="AB29" s="9">
        <f t="shared" si="40"/>
        <v>8511.6666666666661</v>
      </c>
    </row>
    <row r="30" spans="1:28" ht="17" thickBot="1" x14ac:dyDescent="0.25">
      <c r="A30" s="9"/>
      <c r="B30" s="9" t="s">
        <v>57</v>
      </c>
      <c r="C30" s="9">
        <f t="shared" ref="C30:M30" si="41">AVERAGE(C27:C29)</f>
        <v>113455</v>
      </c>
      <c r="D30" s="9">
        <f t="shared" si="41"/>
        <v>6374</v>
      </c>
      <c r="E30" s="9">
        <f t="shared" si="41"/>
        <v>1240.6666666666667</v>
      </c>
      <c r="F30" s="9">
        <f t="shared" si="41"/>
        <v>1667.3333333333333</v>
      </c>
      <c r="G30" s="9">
        <f t="shared" si="41"/>
        <v>1846</v>
      </c>
      <c r="H30" s="9">
        <f t="shared" si="41"/>
        <v>22816.666666666668</v>
      </c>
      <c r="I30" s="9">
        <f t="shared" si="41"/>
        <v>40896</v>
      </c>
      <c r="J30" s="9">
        <f t="shared" si="41"/>
        <v>38614.333333333336</v>
      </c>
      <c r="K30" s="9">
        <f t="shared" si="41"/>
        <v>24057.333333333332</v>
      </c>
      <c r="L30" s="9">
        <f t="shared" si="41"/>
        <v>42563.333333333336</v>
      </c>
      <c r="M30" s="9">
        <f t="shared" si="41"/>
        <v>40460.333333333336</v>
      </c>
      <c r="O30" s="22"/>
      <c r="P30" s="11" t="s">
        <v>120</v>
      </c>
      <c r="Q30" s="12">
        <v>10</v>
      </c>
      <c r="R30" s="12">
        <v>112257</v>
      </c>
      <c r="S30" s="13">
        <f>R30-T30-U30-V30-W30-X30-Y30</f>
        <v>6805</v>
      </c>
      <c r="T30" s="12">
        <v>804</v>
      </c>
      <c r="U30" s="12">
        <v>700</v>
      </c>
      <c r="V30" s="12">
        <v>597</v>
      </c>
      <c r="W30" s="12">
        <v>31526</v>
      </c>
      <c r="X30" s="12">
        <v>42197</v>
      </c>
      <c r="Y30" s="12">
        <v>29628</v>
      </c>
      <c r="Z30" s="14">
        <f t="shared" ref="Z30:Z32" si="42">SUM(T30,W30)</f>
        <v>32330</v>
      </c>
      <c r="AA30" s="14">
        <f t="shared" ref="AA30:AA32" si="43">SUM(U30,X30)</f>
        <v>42897</v>
      </c>
      <c r="AB30" s="14">
        <f t="shared" ref="AB30:AB32" si="44">SUM(V30,Y30)</f>
        <v>30225</v>
      </c>
    </row>
    <row r="31" spans="1:28" x14ac:dyDescent="0.2">
      <c r="A31" s="11" t="s">
        <v>64</v>
      </c>
      <c r="B31" s="12">
        <v>7</v>
      </c>
      <c r="C31" s="12">
        <v>121082</v>
      </c>
      <c r="D31" s="13">
        <f>C31-E31-F31-G31-H31-I31-J31</f>
        <v>5763</v>
      </c>
      <c r="E31" s="12">
        <v>3035</v>
      </c>
      <c r="F31" s="12">
        <v>1220</v>
      </c>
      <c r="G31" s="12">
        <v>2161</v>
      </c>
      <c r="H31" s="12">
        <v>39174</v>
      </c>
      <c r="I31" s="12">
        <v>35188</v>
      </c>
      <c r="J31" s="12">
        <v>34541</v>
      </c>
      <c r="K31" s="14">
        <f t="shared" ref="K31:M33" si="45">SUM(E31,H31)</f>
        <v>42209</v>
      </c>
      <c r="L31" s="14">
        <f t="shared" si="45"/>
        <v>36408</v>
      </c>
      <c r="M31" s="14">
        <f t="shared" si="45"/>
        <v>36702</v>
      </c>
      <c r="O31" s="22"/>
      <c r="P31" s="15" t="s">
        <v>120</v>
      </c>
      <c r="Q31" s="9">
        <v>13</v>
      </c>
      <c r="R31" s="9">
        <v>106424</v>
      </c>
      <c r="S31" s="16">
        <f>R31-T31-U31-V31-W31-X31-Y31</f>
        <v>6903</v>
      </c>
      <c r="T31" s="9">
        <v>751</v>
      </c>
      <c r="U31" s="9">
        <v>620</v>
      </c>
      <c r="V31" s="9">
        <v>565</v>
      </c>
      <c r="W31" s="9">
        <v>28364</v>
      </c>
      <c r="X31" s="9">
        <v>41583</v>
      </c>
      <c r="Y31" s="9">
        <v>27638</v>
      </c>
      <c r="Z31" s="17">
        <f t="shared" si="42"/>
        <v>29115</v>
      </c>
      <c r="AA31" s="17">
        <f t="shared" si="43"/>
        <v>42203</v>
      </c>
      <c r="AB31" s="17">
        <f t="shared" si="44"/>
        <v>28203</v>
      </c>
    </row>
    <row r="32" spans="1:28" ht="17" thickBot="1" x14ac:dyDescent="0.25">
      <c r="A32" s="15" t="s">
        <v>64</v>
      </c>
      <c r="B32" s="9">
        <v>9</v>
      </c>
      <c r="C32" s="9">
        <v>106710</v>
      </c>
      <c r="D32" s="16">
        <f>C32-E32-F32-G32-H32-I32-J32</f>
        <v>5372</v>
      </c>
      <c r="E32" s="9">
        <v>2527</v>
      </c>
      <c r="F32" s="9">
        <v>1004</v>
      </c>
      <c r="G32" s="9">
        <v>1755</v>
      </c>
      <c r="H32" s="9">
        <v>34841</v>
      </c>
      <c r="I32" s="9">
        <v>30441</v>
      </c>
      <c r="J32" s="9">
        <v>30770</v>
      </c>
      <c r="K32" s="17">
        <f t="shared" si="45"/>
        <v>37368</v>
      </c>
      <c r="L32" s="17">
        <f t="shared" si="45"/>
        <v>31445</v>
      </c>
      <c r="M32" s="17">
        <f t="shared" si="45"/>
        <v>32525</v>
      </c>
      <c r="O32" s="22"/>
      <c r="P32" s="18" t="s">
        <v>120</v>
      </c>
      <c r="Q32" s="19">
        <v>16</v>
      </c>
      <c r="R32" s="19">
        <v>57355</v>
      </c>
      <c r="S32" s="20">
        <f>R32-T32-U32-V32-W32-X32-Y32</f>
        <v>4794</v>
      </c>
      <c r="T32" s="19">
        <v>511</v>
      </c>
      <c r="U32" s="19">
        <v>261</v>
      </c>
      <c r="V32" s="19">
        <v>342</v>
      </c>
      <c r="W32" s="19">
        <v>14670</v>
      </c>
      <c r="X32" s="19">
        <v>19810</v>
      </c>
      <c r="Y32" s="19">
        <v>16967</v>
      </c>
      <c r="Z32" s="21">
        <f t="shared" si="42"/>
        <v>15181</v>
      </c>
      <c r="AA32" s="21">
        <f t="shared" si="43"/>
        <v>20071</v>
      </c>
      <c r="AB32" s="21">
        <f t="shared" si="44"/>
        <v>17309</v>
      </c>
    </row>
    <row r="33" spans="1:28" ht="17" thickBot="1" x14ac:dyDescent="0.25">
      <c r="A33" s="18" t="s">
        <v>64</v>
      </c>
      <c r="B33" s="19">
        <v>5</v>
      </c>
      <c r="C33" s="19">
        <v>68400</v>
      </c>
      <c r="D33" s="20">
        <f>C33-E33-F33-G33-H33-I33-J33</f>
        <v>3670</v>
      </c>
      <c r="E33" s="19">
        <v>1160</v>
      </c>
      <c r="F33" s="19">
        <v>934</v>
      </c>
      <c r="G33" s="19">
        <v>896</v>
      </c>
      <c r="H33" s="19">
        <v>22211</v>
      </c>
      <c r="I33" s="19">
        <v>23840</v>
      </c>
      <c r="J33" s="19">
        <v>15689</v>
      </c>
      <c r="K33" s="21">
        <f t="shared" si="45"/>
        <v>23371</v>
      </c>
      <c r="L33" s="21">
        <f t="shared" si="45"/>
        <v>24774</v>
      </c>
      <c r="M33" s="21">
        <f t="shared" si="45"/>
        <v>16585</v>
      </c>
      <c r="O33" s="22"/>
      <c r="P33" s="9"/>
      <c r="Q33" s="9" t="s">
        <v>57</v>
      </c>
      <c r="R33" s="9">
        <f t="shared" ref="R33:AB33" si="46">AVERAGE(R30:R32)</f>
        <v>92012</v>
      </c>
      <c r="S33" s="9">
        <f t="shared" si="46"/>
        <v>6167.333333333333</v>
      </c>
      <c r="T33" s="9">
        <f t="shared" si="46"/>
        <v>688.66666666666663</v>
      </c>
      <c r="U33" s="9">
        <f t="shared" si="46"/>
        <v>527</v>
      </c>
      <c r="V33" s="9">
        <f t="shared" si="46"/>
        <v>501.33333333333331</v>
      </c>
      <c r="W33" s="9">
        <f t="shared" si="46"/>
        <v>24853.333333333332</v>
      </c>
      <c r="X33" s="9">
        <f t="shared" si="46"/>
        <v>34530</v>
      </c>
      <c r="Y33" s="9">
        <f t="shared" si="46"/>
        <v>24744.333333333332</v>
      </c>
      <c r="Z33" s="9">
        <f t="shared" si="46"/>
        <v>25542</v>
      </c>
      <c r="AA33" s="9">
        <f t="shared" si="46"/>
        <v>35057</v>
      </c>
      <c r="AB33" s="9">
        <f t="shared" si="46"/>
        <v>25245.666666666668</v>
      </c>
    </row>
    <row r="34" spans="1:28" ht="17" thickBot="1" x14ac:dyDescent="0.25">
      <c r="A34" s="9"/>
      <c r="B34" s="9" t="s">
        <v>57</v>
      </c>
      <c r="C34" s="9">
        <f t="shared" ref="C34:M34" si="47">AVERAGE(C31:C33)</f>
        <v>98730.666666666672</v>
      </c>
      <c r="D34" s="9">
        <f t="shared" si="47"/>
        <v>4935</v>
      </c>
      <c r="E34" s="9">
        <f t="shared" si="47"/>
        <v>2240.6666666666665</v>
      </c>
      <c r="F34" s="9">
        <f t="shared" si="47"/>
        <v>1052.6666666666667</v>
      </c>
      <c r="G34" s="9">
        <f t="shared" si="47"/>
        <v>1604</v>
      </c>
      <c r="H34" s="9">
        <f t="shared" si="47"/>
        <v>32075.333333333332</v>
      </c>
      <c r="I34" s="9">
        <f t="shared" si="47"/>
        <v>29823</v>
      </c>
      <c r="J34" s="9">
        <f t="shared" si="47"/>
        <v>27000</v>
      </c>
      <c r="K34" s="9">
        <f t="shared" si="47"/>
        <v>34316</v>
      </c>
      <c r="L34" s="9">
        <f t="shared" si="47"/>
        <v>30875.666666666668</v>
      </c>
      <c r="M34" s="9">
        <f t="shared" si="47"/>
        <v>28604</v>
      </c>
      <c r="O34" s="22"/>
      <c r="P34" s="11" t="s">
        <v>122</v>
      </c>
      <c r="Q34" s="12">
        <v>11</v>
      </c>
      <c r="R34" s="12">
        <v>67585</v>
      </c>
      <c r="S34" s="13">
        <f>R34-T34-U34-V34-W34-X34-Y34</f>
        <v>5428</v>
      </c>
      <c r="T34" s="12">
        <v>304</v>
      </c>
      <c r="U34" s="12">
        <v>208</v>
      </c>
      <c r="V34" s="12">
        <v>103</v>
      </c>
      <c r="W34" s="12">
        <v>16306</v>
      </c>
      <c r="X34" s="12">
        <v>24711</v>
      </c>
      <c r="Y34" s="12">
        <v>20525</v>
      </c>
      <c r="Z34" s="14">
        <f t="shared" ref="Z34:Z36" si="48">SUM(T34,W34)</f>
        <v>16610</v>
      </c>
      <c r="AA34" s="14">
        <f t="shared" ref="AA34:AA36" si="49">SUM(U34,X34)</f>
        <v>24919</v>
      </c>
      <c r="AB34" s="14">
        <f t="shared" ref="AB34:AB36" si="50">SUM(V34,Y34)</f>
        <v>20628</v>
      </c>
    </row>
    <row r="35" spans="1:28" x14ac:dyDescent="0.2">
      <c r="A35" s="11" t="s">
        <v>65</v>
      </c>
      <c r="B35" s="12">
        <v>8</v>
      </c>
      <c r="C35" s="12">
        <v>114302</v>
      </c>
      <c r="D35" s="13">
        <f>C35-E35-F35-G35-H35-I35-J35</f>
        <v>3840</v>
      </c>
      <c r="E35" s="12">
        <v>3979</v>
      </c>
      <c r="F35" s="12">
        <v>2840</v>
      </c>
      <c r="G35" s="12">
        <v>1530</v>
      </c>
      <c r="H35" s="12">
        <v>36870</v>
      </c>
      <c r="I35" s="12">
        <v>33890</v>
      </c>
      <c r="J35" s="12">
        <v>31353</v>
      </c>
      <c r="K35" s="14">
        <f t="shared" ref="K35:M37" si="51">SUM(E35,H35)</f>
        <v>40849</v>
      </c>
      <c r="L35" s="14">
        <f t="shared" si="51"/>
        <v>36730</v>
      </c>
      <c r="M35" s="14">
        <f t="shared" si="51"/>
        <v>32883</v>
      </c>
      <c r="O35" s="22"/>
      <c r="P35" s="15" t="s">
        <v>122</v>
      </c>
      <c r="Q35" s="9">
        <v>7</v>
      </c>
      <c r="R35" s="9">
        <v>150069</v>
      </c>
      <c r="S35" s="16">
        <f>R35-T35-U35-V35-W35-X35-Y35</f>
        <v>6810</v>
      </c>
      <c r="T35" s="9">
        <v>818</v>
      </c>
      <c r="U35" s="9">
        <v>676</v>
      </c>
      <c r="V35" s="9">
        <v>226</v>
      </c>
      <c r="W35" s="9">
        <v>42411</v>
      </c>
      <c r="X35" s="9">
        <v>56903</v>
      </c>
      <c r="Y35" s="9">
        <v>42225</v>
      </c>
      <c r="Z35" s="17">
        <f t="shared" si="48"/>
        <v>43229</v>
      </c>
      <c r="AA35" s="17">
        <f t="shared" si="49"/>
        <v>57579</v>
      </c>
      <c r="AB35" s="17">
        <f t="shared" si="50"/>
        <v>42451</v>
      </c>
    </row>
    <row r="36" spans="1:28" ht="17" thickBot="1" x14ac:dyDescent="0.25">
      <c r="A36" s="15" t="s">
        <v>65</v>
      </c>
      <c r="B36" s="9">
        <v>10</v>
      </c>
      <c r="C36" s="9">
        <v>113600</v>
      </c>
      <c r="D36" s="16">
        <f>C36-E36-F36-G36-H36-I36-J36</f>
        <v>3240</v>
      </c>
      <c r="E36" s="9">
        <v>4275</v>
      </c>
      <c r="F36" s="9">
        <v>3132</v>
      </c>
      <c r="G36" s="9">
        <v>1512</v>
      </c>
      <c r="H36" s="9">
        <v>36854</v>
      </c>
      <c r="I36" s="9">
        <v>33386</v>
      </c>
      <c r="J36" s="9">
        <v>31201</v>
      </c>
      <c r="K36" s="17">
        <f t="shared" si="51"/>
        <v>41129</v>
      </c>
      <c r="L36" s="17">
        <f t="shared" si="51"/>
        <v>36518</v>
      </c>
      <c r="M36" s="17">
        <f t="shared" si="51"/>
        <v>32713</v>
      </c>
      <c r="O36" s="22"/>
      <c r="P36" s="18" t="s">
        <v>122</v>
      </c>
      <c r="Q36" s="19">
        <v>9</v>
      </c>
      <c r="R36" s="19">
        <v>127672</v>
      </c>
      <c r="S36" s="20">
        <f>R36-T36-U36-V36-W36-X36-Y36</f>
        <v>7136</v>
      </c>
      <c r="T36" s="19">
        <v>627</v>
      </c>
      <c r="U36" s="19">
        <v>451</v>
      </c>
      <c r="V36" s="19">
        <v>225</v>
      </c>
      <c r="W36" s="19">
        <v>33883</v>
      </c>
      <c r="X36" s="19">
        <v>48640</v>
      </c>
      <c r="Y36" s="19">
        <v>36710</v>
      </c>
      <c r="Z36" s="21">
        <f t="shared" si="48"/>
        <v>34510</v>
      </c>
      <c r="AA36" s="21">
        <f t="shared" si="49"/>
        <v>49091</v>
      </c>
      <c r="AB36" s="21">
        <f t="shared" si="50"/>
        <v>36935</v>
      </c>
    </row>
    <row r="37" spans="1:28" ht="17" thickBot="1" x14ac:dyDescent="0.25">
      <c r="A37" s="18" t="s">
        <v>65</v>
      </c>
      <c r="B37" s="19">
        <v>6</v>
      </c>
      <c r="C37" s="19">
        <v>78273</v>
      </c>
      <c r="D37" s="20">
        <f>C37-E37-F37-G37-H37-I37-J37</f>
        <v>4083</v>
      </c>
      <c r="E37" s="19">
        <v>2457</v>
      </c>
      <c r="F37" s="19">
        <v>1647</v>
      </c>
      <c r="G37" s="19">
        <v>944</v>
      </c>
      <c r="H37" s="19">
        <v>25907</v>
      </c>
      <c r="I37" s="19">
        <v>23539</v>
      </c>
      <c r="J37" s="19">
        <v>19696</v>
      </c>
      <c r="K37" s="21">
        <f t="shared" si="51"/>
        <v>28364</v>
      </c>
      <c r="L37" s="21">
        <f t="shared" si="51"/>
        <v>25186</v>
      </c>
      <c r="M37" s="21">
        <f t="shared" si="51"/>
        <v>20640</v>
      </c>
      <c r="O37" s="22"/>
      <c r="P37" s="9"/>
      <c r="Q37" s="9" t="s">
        <v>57</v>
      </c>
      <c r="R37" s="9">
        <f t="shared" ref="R37:AB37" si="52">AVERAGE(R34:R36)</f>
        <v>115108.66666666667</v>
      </c>
      <c r="S37" s="9">
        <f t="shared" si="52"/>
        <v>6458</v>
      </c>
      <c r="T37" s="9">
        <f t="shared" si="52"/>
        <v>583</v>
      </c>
      <c r="U37" s="9">
        <f t="shared" si="52"/>
        <v>445</v>
      </c>
      <c r="V37" s="9">
        <f t="shared" si="52"/>
        <v>184.66666666666666</v>
      </c>
      <c r="W37" s="9">
        <f t="shared" si="52"/>
        <v>30866.666666666668</v>
      </c>
      <c r="X37" s="9">
        <f t="shared" si="52"/>
        <v>43418</v>
      </c>
      <c r="Y37" s="9">
        <f t="shared" si="52"/>
        <v>33153.333333333336</v>
      </c>
      <c r="Z37" s="9">
        <f t="shared" si="52"/>
        <v>31449.666666666668</v>
      </c>
      <c r="AA37" s="9">
        <f t="shared" si="52"/>
        <v>43863</v>
      </c>
      <c r="AB37" s="9">
        <f t="shared" si="52"/>
        <v>33338</v>
      </c>
    </row>
    <row r="38" spans="1:28" ht="17" thickBot="1" x14ac:dyDescent="0.25">
      <c r="A38" s="9"/>
      <c r="B38" s="9" t="s">
        <v>57</v>
      </c>
      <c r="C38" s="9">
        <f t="shared" ref="C38:M38" si="53">AVERAGE(C35:C37)</f>
        <v>102058.33333333333</v>
      </c>
      <c r="D38" s="9">
        <f t="shared" si="53"/>
        <v>3721</v>
      </c>
      <c r="E38" s="9">
        <f t="shared" si="53"/>
        <v>3570.3333333333335</v>
      </c>
      <c r="F38" s="9">
        <f t="shared" si="53"/>
        <v>2539.6666666666665</v>
      </c>
      <c r="G38" s="9">
        <f t="shared" si="53"/>
        <v>1328.6666666666667</v>
      </c>
      <c r="H38" s="9">
        <f t="shared" si="53"/>
        <v>33210.333333333336</v>
      </c>
      <c r="I38" s="9">
        <f t="shared" si="53"/>
        <v>30271.666666666668</v>
      </c>
      <c r="J38" s="9">
        <f t="shared" si="53"/>
        <v>27416.666666666668</v>
      </c>
      <c r="K38" s="9">
        <f t="shared" si="53"/>
        <v>36780.666666666664</v>
      </c>
      <c r="L38" s="9">
        <f t="shared" si="53"/>
        <v>32811.333333333336</v>
      </c>
      <c r="M38" s="9">
        <f t="shared" si="53"/>
        <v>28745.333333333332</v>
      </c>
      <c r="O38" s="22"/>
      <c r="P38" s="11" t="s">
        <v>124</v>
      </c>
      <c r="Q38" s="12">
        <v>10</v>
      </c>
      <c r="R38" s="12">
        <v>59274</v>
      </c>
      <c r="S38" s="13">
        <f>R38-T38-U38-V38-W38-X38-Y38</f>
        <v>4785</v>
      </c>
      <c r="T38" s="12">
        <v>335</v>
      </c>
      <c r="U38" s="12">
        <v>222</v>
      </c>
      <c r="V38" s="12">
        <v>360</v>
      </c>
      <c r="W38" s="12">
        <v>14106</v>
      </c>
      <c r="X38" s="12">
        <v>22062</v>
      </c>
      <c r="Y38" s="12">
        <v>17404</v>
      </c>
      <c r="Z38" s="14">
        <f t="shared" ref="Z38:Z40" si="54">SUM(T38,W38)</f>
        <v>14441</v>
      </c>
      <c r="AA38" s="14">
        <f t="shared" ref="AA38:AA40" si="55">SUM(U38,X38)</f>
        <v>22284</v>
      </c>
      <c r="AB38" s="14">
        <f t="shared" ref="AB38:AB40" si="56">SUM(V38,Y38)</f>
        <v>17764</v>
      </c>
    </row>
    <row r="39" spans="1:28" x14ac:dyDescent="0.2">
      <c r="A39" s="11" t="s">
        <v>66</v>
      </c>
      <c r="B39" s="12">
        <v>6</v>
      </c>
      <c r="C39" s="12">
        <v>9388</v>
      </c>
      <c r="D39" s="13">
        <f>C39-E39-F39-G39-H39-I39-J39</f>
        <v>810</v>
      </c>
      <c r="E39" s="12">
        <v>294</v>
      </c>
      <c r="F39" s="12">
        <v>142</v>
      </c>
      <c r="G39" s="12">
        <v>72</v>
      </c>
      <c r="H39" s="12">
        <v>3257</v>
      </c>
      <c r="I39" s="12">
        <v>3263</v>
      </c>
      <c r="J39" s="12">
        <v>1550</v>
      </c>
      <c r="K39" s="14">
        <f t="shared" ref="K39:M41" si="57">SUM(E39,H39)</f>
        <v>3551</v>
      </c>
      <c r="L39" s="14">
        <f t="shared" si="57"/>
        <v>3405</v>
      </c>
      <c r="M39" s="14">
        <f t="shared" si="57"/>
        <v>1622</v>
      </c>
      <c r="O39" s="22"/>
      <c r="P39" s="15" t="s">
        <v>124</v>
      </c>
      <c r="Q39" s="9">
        <v>13</v>
      </c>
      <c r="R39" s="9">
        <v>51466</v>
      </c>
      <c r="S39" s="16">
        <f>R39-T39-U39-V39-W39-X39-Y39</f>
        <v>5232</v>
      </c>
      <c r="T39" s="9">
        <v>240</v>
      </c>
      <c r="U39" s="9">
        <v>157</v>
      </c>
      <c r="V39" s="9">
        <v>217</v>
      </c>
      <c r="W39" s="9">
        <v>11362</v>
      </c>
      <c r="X39" s="9">
        <v>19666</v>
      </c>
      <c r="Y39" s="9">
        <v>14592</v>
      </c>
      <c r="Z39" s="17">
        <f t="shared" si="54"/>
        <v>11602</v>
      </c>
      <c r="AA39" s="17">
        <f t="shared" si="55"/>
        <v>19823</v>
      </c>
      <c r="AB39" s="17">
        <f t="shared" si="56"/>
        <v>14809</v>
      </c>
    </row>
    <row r="40" spans="1:28" ht="17" thickBot="1" x14ac:dyDescent="0.25">
      <c r="A40" s="15" t="s">
        <v>66</v>
      </c>
      <c r="B40" s="9">
        <v>4</v>
      </c>
      <c r="C40" s="9">
        <v>22033</v>
      </c>
      <c r="D40" s="16">
        <f>C40-E40-F40-G40-H40-I40-J40</f>
        <v>1409</v>
      </c>
      <c r="E40" s="9">
        <v>742</v>
      </c>
      <c r="F40" s="9">
        <v>489</v>
      </c>
      <c r="G40" s="9">
        <v>181</v>
      </c>
      <c r="H40" s="9">
        <v>7800</v>
      </c>
      <c r="I40" s="9">
        <v>7708</v>
      </c>
      <c r="J40" s="9">
        <v>3704</v>
      </c>
      <c r="K40" s="17">
        <f t="shared" si="57"/>
        <v>8542</v>
      </c>
      <c r="L40" s="17">
        <f t="shared" si="57"/>
        <v>8197</v>
      </c>
      <c r="M40" s="17">
        <f t="shared" si="57"/>
        <v>3885</v>
      </c>
      <c r="O40" s="22"/>
      <c r="P40" s="18" t="s">
        <v>124</v>
      </c>
      <c r="Q40" s="19">
        <v>5</v>
      </c>
      <c r="R40" s="19">
        <v>62909</v>
      </c>
      <c r="S40" s="20">
        <f>R40-T40-U40-V40-W40-X40-Y40</f>
        <v>3819</v>
      </c>
      <c r="T40" s="19">
        <v>495</v>
      </c>
      <c r="U40" s="19">
        <v>315</v>
      </c>
      <c r="V40" s="19">
        <v>371</v>
      </c>
      <c r="W40" s="19">
        <v>16383</v>
      </c>
      <c r="X40" s="19">
        <v>23671</v>
      </c>
      <c r="Y40" s="19">
        <v>17855</v>
      </c>
      <c r="Z40" s="21">
        <f t="shared" si="54"/>
        <v>16878</v>
      </c>
      <c r="AA40" s="21">
        <f t="shared" si="55"/>
        <v>23986</v>
      </c>
      <c r="AB40" s="21">
        <f t="shared" si="56"/>
        <v>18226</v>
      </c>
    </row>
    <row r="41" spans="1:28" ht="17" thickBot="1" x14ac:dyDescent="0.25">
      <c r="A41" s="18" t="s">
        <v>66</v>
      </c>
      <c r="B41" s="19">
        <v>1</v>
      </c>
      <c r="C41" s="19">
        <v>55627</v>
      </c>
      <c r="D41" s="20">
        <f>C41-E41-F41-G41-H41-I41-J41</f>
        <v>2815</v>
      </c>
      <c r="E41" s="19">
        <v>2035</v>
      </c>
      <c r="F41" s="19">
        <v>1491</v>
      </c>
      <c r="G41" s="19">
        <v>531</v>
      </c>
      <c r="H41" s="19">
        <v>19024</v>
      </c>
      <c r="I41" s="19">
        <v>20918</v>
      </c>
      <c r="J41" s="19">
        <v>8813</v>
      </c>
      <c r="K41" s="21">
        <f t="shared" si="57"/>
        <v>21059</v>
      </c>
      <c r="L41" s="21">
        <f t="shared" si="57"/>
        <v>22409</v>
      </c>
      <c r="M41" s="21">
        <f t="shared" si="57"/>
        <v>9344</v>
      </c>
      <c r="O41" s="22"/>
      <c r="P41" s="9"/>
      <c r="Q41" s="9" t="s">
        <v>57</v>
      </c>
      <c r="R41" s="9">
        <f t="shared" ref="R41:AB41" si="58">AVERAGE(R38:R40)</f>
        <v>57883</v>
      </c>
      <c r="S41" s="9">
        <f t="shared" si="58"/>
        <v>4612</v>
      </c>
      <c r="T41" s="9">
        <f t="shared" si="58"/>
        <v>356.66666666666669</v>
      </c>
      <c r="U41" s="9">
        <f t="shared" si="58"/>
        <v>231.33333333333334</v>
      </c>
      <c r="V41" s="9">
        <f t="shared" si="58"/>
        <v>316</v>
      </c>
      <c r="W41" s="9">
        <f t="shared" si="58"/>
        <v>13950.333333333334</v>
      </c>
      <c r="X41" s="9">
        <f t="shared" si="58"/>
        <v>21799.666666666668</v>
      </c>
      <c r="Y41" s="9">
        <f t="shared" si="58"/>
        <v>16617</v>
      </c>
      <c r="Z41" s="9">
        <f t="shared" si="58"/>
        <v>14307</v>
      </c>
      <c r="AA41" s="9">
        <f t="shared" si="58"/>
        <v>22031</v>
      </c>
      <c r="AB41" s="9">
        <f t="shared" si="58"/>
        <v>16933</v>
      </c>
    </row>
    <row r="42" spans="1:28" ht="17" thickBot="1" x14ac:dyDescent="0.25">
      <c r="A42" s="9"/>
      <c r="B42" s="9" t="s">
        <v>57</v>
      </c>
      <c r="C42" s="9">
        <f t="shared" ref="C42:M42" si="59">AVERAGE(C39:C41)</f>
        <v>29016</v>
      </c>
      <c r="D42" s="9">
        <f t="shared" si="59"/>
        <v>1678</v>
      </c>
      <c r="E42" s="9">
        <f t="shared" si="59"/>
        <v>1023.6666666666666</v>
      </c>
      <c r="F42" s="9">
        <f t="shared" si="59"/>
        <v>707.33333333333337</v>
      </c>
      <c r="G42" s="9">
        <f t="shared" si="59"/>
        <v>261.33333333333331</v>
      </c>
      <c r="H42" s="9">
        <f t="shared" si="59"/>
        <v>10027</v>
      </c>
      <c r="I42" s="9">
        <f t="shared" si="59"/>
        <v>10629.666666666666</v>
      </c>
      <c r="J42" s="9">
        <f t="shared" si="59"/>
        <v>4689</v>
      </c>
      <c r="K42" s="9">
        <f t="shared" si="59"/>
        <v>11050.666666666666</v>
      </c>
      <c r="L42" s="9">
        <f t="shared" si="59"/>
        <v>11337</v>
      </c>
      <c r="M42" s="9">
        <f t="shared" si="59"/>
        <v>4950.333333333333</v>
      </c>
      <c r="O42" s="22"/>
      <c r="P42" s="11" t="s">
        <v>126</v>
      </c>
      <c r="Q42" s="12">
        <v>11</v>
      </c>
      <c r="R42" s="12">
        <v>104096</v>
      </c>
      <c r="S42" s="13">
        <f>R42-T42-U42-V42-W42-X42-Y42</f>
        <v>7163</v>
      </c>
      <c r="T42" s="12">
        <v>103</v>
      </c>
      <c r="U42" s="12">
        <v>71</v>
      </c>
      <c r="V42" s="12">
        <v>72</v>
      </c>
      <c r="W42" s="12">
        <v>28544</v>
      </c>
      <c r="X42" s="12">
        <v>39430</v>
      </c>
      <c r="Y42" s="12">
        <v>28713</v>
      </c>
      <c r="Z42" s="14">
        <f t="shared" ref="Z42:Z44" si="60">SUM(T42,W42)</f>
        <v>28647</v>
      </c>
      <c r="AA42" s="14">
        <f t="shared" ref="AA42:AA44" si="61">SUM(U42,X42)</f>
        <v>39501</v>
      </c>
      <c r="AB42" s="14">
        <f t="shared" ref="AB42:AB44" si="62">SUM(V42,Y42)</f>
        <v>28785</v>
      </c>
    </row>
    <row r="43" spans="1:28" x14ac:dyDescent="0.2">
      <c r="A43" s="11" t="s">
        <v>67</v>
      </c>
      <c r="B43" s="12">
        <v>6</v>
      </c>
      <c r="C43" s="12">
        <v>56202</v>
      </c>
      <c r="D43" s="13">
        <f>C43-E43-F43-G43-H43-I43-J43</f>
        <v>5456</v>
      </c>
      <c r="E43" s="12">
        <v>1555</v>
      </c>
      <c r="F43" s="12">
        <v>770</v>
      </c>
      <c r="G43" s="12">
        <v>259</v>
      </c>
      <c r="H43" s="12">
        <v>21855</v>
      </c>
      <c r="I43" s="12">
        <v>14740</v>
      </c>
      <c r="J43" s="12">
        <v>11567</v>
      </c>
      <c r="K43" s="14">
        <f t="shared" ref="K43:M45" si="63">SUM(E43,H43)</f>
        <v>23410</v>
      </c>
      <c r="L43" s="14">
        <f t="shared" si="63"/>
        <v>15510</v>
      </c>
      <c r="M43" s="14">
        <f t="shared" si="63"/>
        <v>11826</v>
      </c>
      <c r="O43" s="22"/>
      <c r="P43" s="15" t="s">
        <v>126</v>
      </c>
      <c r="Q43" s="9">
        <v>14</v>
      </c>
      <c r="R43" s="9">
        <v>68096</v>
      </c>
      <c r="S43" s="16">
        <f>R43-T43-U43-V43-W43-X43-Y43</f>
        <v>6093</v>
      </c>
      <c r="T43" s="9">
        <v>54</v>
      </c>
      <c r="U43" s="9">
        <v>45</v>
      </c>
      <c r="V43" s="9">
        <v>73</v>
      </c>
      <c r="W43" s="9">
        <v>17794</v>
      </c>
      <c r="X43" s="9">
        <v>25009</v>
      </c>
      <c r="Y43" s="9">
        <v>19028</v>
      </c>
      <c r="Z43" s="17">
        <f t="shared" si="60"/>
        <v>17848</v>
      </c>
      <c r="AA43" s="17">
        <f t="shared" si="61"/>
        <v>25054</v>
      </c>
      <c r="AB43" s="17">
        <f t="shared" si="62"/>
        <v>19101</v>
      </c>
    </row>
    <row r="44" spans="1:28" ht="17" thickBot="1" x14ac:dyDescent="0.25">
      <c r="A44" s="15" t="s">
        <v>67</v>
      </c>
      <c r="B44" s="9">
        <v>7</v>
      </c>
      <c r="C44" s="9">
        <v>33932</v>
      </c>
      <c r="D44" s="16">
        <f>C44-E44-F44-G44-H44-I44-J44</f>
        <v>3659</v>
      </c>
      <c r="E44" s="9">
        <v>807</v>
      </c>
      <c r="F44" s="9">
        <v>367</v>
      </c>
      <c r="G44" s="9">
        <v>160</v>
      </c>
      <c r="H44" s="9">
        <v>12973</v>
      </c>
      <c r="I44" s="9">
        <v>8743</v>
      </c>
      <c r="J44" s="9">
        <v>7223</v>
      </c>
      <c r="K44" s="17">
        <f t="shared" si="63"/>
        <v>13780</v>
      </c>
      <c r="L44" s="17">
        <f t="shared" si="63"/>
        <v>9110</v>
      </c>
      <c r="M44" s="17">
        <f t="shared" si="63"/>
        <v>7383</v>
      </c>
      <c r="O44" s="22"/>
      <c r="P44" s="18" t="s">
        <v>126</v>
      </c>
      <c r="Q44" s="19">
        <v>8</v>
      </c>
      <c r="R44" s="19">
        <v>106579</v>
      </c>
      <c r="S44" s="20">
        <f>R44-T44-U44-V44-W44-X44-Y44</f>
        <v>5760</v>
      </c>
      <c r="T44" s="19">
        <v>150</v>
      </c>
      <c r="U44" s="19">
        <v>107</v>
      </c>
      <c r="V44" s="19">
        <v>93</v>
      </c>
      <c r="W44" s="19">
        <v>31626</v>
      </c>
      <c r="X44" s="19">
        <v>39976</v>
      </c>
      <c r="Y44" s="19">
        <v>28867</v>
      </c>
      <c r="Z44" s="21">
        <f t="shared" si="60"/>
        <v>31776</v>
      </c>
      <c r="AA44" s="21">
        <f t="shared" si="61"/>
        <v>40083</v>
      </c>
      <c r="AB44" s="21">
        <f t="shared" si="62"/>
        <v>28960</v>
      </c>
    </row>
    <row r="45" spans="1:28" ht="17" thickBot="1" x14ac:dyDescent="0.25">
      <c r="A45" s="18" t="s">
        <v>67</v>
      </c>
      <c r="B45" s="19">
        <v>4</v>
      </c>
      <c r="C45" s="19">
        <v>57003</v>
      </c>
      <c r="D45" s="20">
        <f>C45-E45-F45-G45-H45-I45-J45</f>
        <v>4961</v>
      </c>
      <c r="E45" s="19">
        <v>1835</v>
      </c>
      <c r="F45" s="19">
        <v>950</v>
      </c>
      <c r="G45" s="19">
        <v>302</v>
      </c>
      <c r="H45" s="19">
        <v>22600</v>
      </c>
      <c r="I45" s="19">
        <v>15715</v>
      </c>
      <c r="J45" s="19">
        <v>10640</v>
      </c>
      <c r="K45" s="21">
        <f t="shared" si="63"/>
        <v>24435</v>
      </c>
      <c r="L45" s="21">
        <f t="shared" si="63"/>
        <v>16665</v>
      </c>
      <c r="M45" s="21">
        <f t="shared" si="63"/>
        <v>10942</v>
      </c>
      <c r="O45" s="22"/>
      <c r="P45" s="9"/>
      <c r="Q45" s="9" t="s">
        <v>57</v>
      </c>
      <c r="R45" s="9">
        <f t="shared" ref="R45:AB45" si="64">AVERAGE(R42:R44)</f>
        <v>92923.666666666672</v>
      </c>
      <c r="S45" s="9">
        <f t="shared" si="64"/>
        <v>6338.666666666667</v>
      </c>
      <c r="T45" s="9">
        <f t="shared" si="64"/>
        <v>102.33333333333333</v>
      </c>
      <c r="U45" s="9">
        <f t="shared" si="64"/>
        <v>74.333333333333329</v>
      </c>
      <c r="V45" s="9">
        <f t="shared" si="64"/>
        <v>79.333333333333329</v>
      </c>
      <c r="W45" s="9">
        <f t="shared" si="64"/>
        <v>25988</v>
      </c>
      <c r="X45" s="9">
        <f t="shared" si="64"/>
        <v>34805</v>
      </c>
      <c r="Y45" s="9">
        <f t="shared" si="64"/>
        <v>25536</v>
      </c>
      <c r="Z45" s="9">
        <f t="shared" si="64"/>
        <v>26090.333333333332</v>
      </c>
      <c r="AA45" s="9">
        <f t="shared" si="64"/>
        <v>34879.333333333336</v>
      </c>
      <c r="AB45" s="9">
        <f t="shared" si="64"/>
        <v>25615.333333333332</v>
      </c>
    </row>
    <row r="46" spans="1:28" ht="17" thickBot="1" x14ac:dyDescent="0.25">
      <c r="A46" s="9"/>
      <c r="B46" s="9" t="s">
        <v>57</v>
      </c>
      <c r="C46" s="9">
        <f t="shared" ref="C46:M46" si="65">AVERAGE(C43:C45)</f>
        <v>49045.666666666664</v>
      </c>
      <c r="D46" s="9">
        <f t="shared" si="65"/>
        <v>4692</v>
      </c>
      <c r="E46" s="9">
        <f t="shared" si="65"/>
        <v>1399</v>
      </c>
      <c r="F46" s="9">
        <f t="shared" si="65"/>
        <v>695.66666666666663</v>
      </c>
      <c r="G46" s="9">
        <f t="shared" si="65"/>
        <v>240.33333333333334</v>
      </c>
      <c r="H46" s="9">
        <f t="shared" si="65"/>
        <v>19142.666666666668</v>
      </c>
      <c r="I46" s="9">
        <f t="shared" si="65"/>
        <v>13066</v>
      </c>
      <c r="J46" s="9">
        <f t="shared" si="65"/>
        <v>9810</v>
      </c>
      <c r="K46" s="9">
        <f t="shared" si="65"/>
        <v>20541.666666666668</v>
      </c>
      <c r="L46" s="9">
        <f t="shared" si="65"/>
        <v>13761.666666666666</v>
      </c>
      <c r="M46" s="9">
        <f t="shared" si="65"/>
        <v>10050.333333333334</v>
      </c>
      <c r="O46" s="22"/>
      <c r="P46" s="11" t="s">
        <v>127</v>
      </c>
      <c r="Q46" s="12">
        <v>12</v>
      </c>
      <c r="R46" s="12">
        <v>65911</v>
      </c>
      <c r="S46" s="13">
        <f>R46-T46-U46-V46-W46-X46-Y46</f>
        <v>6258</v>
      </c>
      <c r="T46" s="12">
        <v>161</v>
      </c>
      <c r="U46" s="12">
        <v>512</v>
      </c>
      <c r="V46" s="12">
        <v>191</v>
      </c>
      <c r="W46" s="12">
        <v>8951</v>
      </c>
      <c r="X46" s="12">
        <v>33055</v>
      </c>
      <c r="Y46" s="12">
        <v>16783</v>
      </c>
      <c r="Z46" s="14">
        <f t="shared" ref="Z46:Z48" si="66">SUM(T46,W46)</f>
        <v>9112</v>
      </c>
      <c r="AA46" s="14">
        <f t="shared" ref="AA46:AA48" si="67">SUM(U46,X46)</f>
        <v>33567</v>
      </c>
      <c r="AB46" s="14">
        <f t="shared" ref="AB46:AB48" si="68">SUM(V46,Y46)</f>
        <v>16974</v>
      </c>
    </row>
    <row r="47" spans="1:28" x14ac:dyDescent="0.2">
      <c r="A47" s="11" t="s">
        <v>68</v>
      </c>
      <c r="B47" s="12">
        <v>6</v>
      </c>
      <c r="C47" s="12">
        <v>74951</v>
      </c>
      <c r="D47" s="13">
        <f>C47-E47-F47-G47-H47-I47-J47</f>
        <v>4597</v>
      </c>
      <c r="E47" s="12">
        <v>3337</v>
      </c>
      <c r="F47" s="12">
        <v>2343</v>
      </c>
      <c r="G47" s="12">
        <v>1255</v>
      </c>
      <c r="H47" s="12">
        <v>24378</v>
      </c>
      <c r="I47" s="12">
        <v>23094</v>
      </c>
      <c r="J47" s="12">
        <v>15947</v>
      </c>
      <c r="K47" s="14">
        <f t="shared" ref="K47:M49" si="69">SUM(E47,H47)</f>
        <v>27715</v>
      </c>
      <c r="L47" s="14">
        <f t="shared" si="69"/>
        <v>25437</v>
      </c>
      <c r="M47" s="14">
        <f t="shared" si="69"/>
        <v>17202</v>
      </c>
      <c r="O47" s="22"/>
      <c r="P47" s="15" t="s">
        <v>127</v>
      </c>
      <c r="Q47" s="9">
        <v>15</v>
      </c>
      <c r="R47" s="9">
        <v>54749</v>
      </c>
      <c r="S47" s="16">
        <f>R47-T47-U47-V47-W47-X47-Y47</f>
        <v>5549</v>
      </c>
      <c r="T47" s="9">
        <v>104</v>
      </c>
      <c r="U47" s="9">
        <v>403</v>
      </c>
      <c r="V47" s="9">
        <v>162</v>
      </c>
      <c r="W47" s="9">
        <v>5608</v>
      </c>
      <c r="X47" s="9">
        <v>29154</v>
      </c>
      <c r="Y47" s="9">
        <v>13769</v>
      </c>
      <c r="Z47" s="17">
        <f t="shared" si="66"/>
        <v>5712</v>
      </c>
      <c r="AA47" s="17">
        <f t="shared" si="67"/>
        <v>29557</v>
      </c>
      <c r="AB47" s="17">
        <f t="shared" si="68"/>
        <v>13931</v>
      </c>
    </row>
    <row r="48" spans="1:28" ht="17" thickBot="1" x14ac:dyDescent="0.25">
      <c r="A48" s="15" t="s">
        <v>68</v>
      </c>
      <c r="B48" s="9">
        <v>12</v>
      </c>
      <c r="C48" s="9">
        <v>78992</v>
      </c>
      <c r="D48" s="16">
        <f>C48-E48-F48-G48-H48-I48-J48</f>
        <v>2824</v>
      </c>
      <c r="E48" s="9">
        <v>4266</v>
      </c>
      <c r="F48" s="9">
        <v>3027</v>
      </c>
      <c r="G48" s="9">
        <v>1912</v>
      </c>
      <c r="H48" s="9">
        <v>24270</v>
      </c>
      <c r="I48" s="9">
        <v>23774</v>
      </c>
      <c r="J48" s="9">
        <v>18919</v>
      </c>
      <c r="K48" s="17">
        <f t="shared" si="69"/>
        <v>28536</v>
      </c>
      <c r="L48" s="17">
        <f t="shared" si="69"/>
        <v>26801</v>
      </c>
      <c r="M48" s="17">
        <f t="shared" si="69"/>
        <v>20831</v>
      </c>
      <c r="O48" s="22"/>
      <c r="P48" s="18" t="s">
        <v>127</v>
      </c>
      <c r="Q48" s="19">
        <v>18</v>
      </c>
      <c r="R48" s="19">
        <v>40256</v>
      </c>
      <c r="S48" s="20">
        <f>R48-T48-U48-V48-W48-X48-Y48</f>
        <v>4958</v>
      </c>
      <c r="T48" s="19">
        <v>67</v>
      </c>
      <c r="U48" s="19">
        <v>295</v>
      </c>
      <c r="V48" s="19">
        <v>80</v>
      </c>
      <c r="W48" s="19">
        <v>3341</v>
      </c>
      <c r="X48" s="19">
        <v>22193</v>
      </c>
      <c r="Y48" s="19">
        <v>9322</v>
      </c>
      <c r="Z48" s="21">
        <f t="shared" si="66"/>
        <v>3408</v>
      </c>
      <c r="AA48" s="21">
        <f t="shared" si="67"/>
        <v>22488</v>
      </c>
      <c r="AB48" s="21">
        <f t="shared" si="68"/>
        <v>9402</v>
      </c>
    </row>
    <row r="49" spans="1:28" ht="17" thickBot="1" x14ac:dyDescent="0.25">
      <c r="A49" s="18" t="s">
        <v>68</v>
      </c>
      <c r="B49" s="19">
        <v>9</v>
      </c>
      <c r="C49" s="19">
        <v>98480</v>
      </c>
      <c r="D49" s="20">
        <f>C49-E49-F49-G49-H49-I49-J49</f>
        <v>4174</v>
      </c>
      <c r="E49" s="19">
        <v>4632</v>
      </c>
      <c r="F49" s="19">
        <v>3465</v>
      </c>
      <c r="G49" s="19">
        <v>1981</v>
      </c>
      <c r="H49" s="19">
        <v>31067</v>
      </c>
      <c r="I49" s="19">
        <v>31228</v>
      </c>
      <c r="J49" s="19">
        <v>21933</v>
      </c>
      <c r="K49" s="21">
        <f t="shared" si="69"/>
        <v>35699</v>
      </c>
      <c r="L49" s="21">
        <f t="shared" si="69"/>
        <v>34693</v>
      </c>
      <c r="M49" s="21">
        <f t="shared" si="69"/>
        <v>23914</v>
      </c>
      <c r="O49" s="22"/>
      <c r="P49" s="9"/>
      <c r="Q49" s="9" t="s">
        <v>57</v>
      </c>
      <c r="R49" s="9">
        <f t="shared" ref="R49:AB49" si="70">AVERAGE(R46:R48)</f>
        <v>53638.666666666664</v>
      </c>
      <c r="S49" s="9">
        <f t="shared" si="70"/>
        <v>5588.333333333333</v>
      </c>
      <c r="T49" s="9">
        <f t="shared" si="70"/>
        <v>110.66666666666667</v>
      </c>
      <c r="U49" s="9">
        <f t="shared" si="70"/>
        <v>403.33333333333331</v>
      </c>
      <c r="V49" s="9">
        <f t="shared" si="70"/>
        <v>144.33333333333334</v>
      </c>
      <c r="W49" s="9">
        <f t="shared" si="70"/>
        <v>5966.666666666667</v>
      </c>
      <c r="X49" s="9">
        <f t="shared" si="70"/>
        <v>28134</v>
      </c>
      <c r="Y49" s="9">
        <f t="shared" si="70"/>
        <v>13291.333333333334</v>
      </c>
      <c r="Z49" s="9">
        <f t="shared" si="70"/>
        <v>6077.333333333333</v>
      </c>
      <c r="AA49" s="9">
        <f t="shared" si="70"/>
        <v>28537.333333333332</v>
      </c>
      <c r="AB49" s="9">
        <f t="shared" si="70"/>
        <v>13435.666666666666</v>
      </c>
    </row>
    <row r="50" spans="1:28" ht="17" thickBot="1" x14ac:dyDescent="0.25">
      <c r="A50" s="9"/>
      <c r="B50" s="9" t="s">
        <v>57</v>
      </c>
      <c r="C50" s="9">
        <f t="shared" ref="C50:M50" si="71">AVERAGE(C47:C49)</f>
        <v>84141</v>
      </c>
      <c r="D50" s="9">
        <f t="shared" si="71"/>
        <v>3865</v>
      </c>
      <c r="E50" s="9">
        <f t="shared" si="71"/>
        <v>4078.3333333333335</v>
      </c>
      <c r="F50" s="9">
        <f t="shared" si="71"/>
        <v>2945</v>
      </c>
      <c r="G50" s="9">
        <f t="shared" si="71"/>
        <v>1716</v>
      </c>
      <c r="H50" s="9">
        <f t="shared" si="71"/>
        <v>26571.666666666668</v>
      </c>
      <c r="I50" s="9">
        <f t="shared" si="71"/>
        <v>26032</v>
      </c>
      <c r="J50" s="9">
        <f t="shared" si="71"/>
        <v>18933</v>
      </c>
      <c r="K50" s="9">
        <f t="shared" si="71"/>
        <v>30650</v>
      </c>
      <c r="L50" s="9">
        <f t="shared" si="71"/>
        <v>28977</v>
      </c>
      <c r="M50" s="9">
        <f t="shared" si="71"/>
        <v>20649</v>
      </c>
      <c r="O50" s="22"/>
      <c r="P50" s="11" t="s">
        <v>129</v>
      </c>
      <c r="Q50" s="12">
        <v>11</v>
      </c>
      <c r="R50" s="12">
        <v>33431</v>
      </c>
      <c r="S50" s="13">
        <f>R50-T50-U50-V50-W50-X50-Y50</f>
        <v>5068</v>
      </c>
      <c r="T50" s="12">
        <v>6</v>
      </c>
      <c r="U50" s="12">
        <v>125</v>
      </c>
      <c r="V50" s="12">
        <v>132</v>
      </c>
      <c r="W50" s="12">
        <v>1180</v>
      </c>
      <c r="X50" s="12">
        <v>16438</v>
      </c>
      <c r="Y50" s="12">
        <v>10482</v>
      </c>
      <c r="Z50" s="14">
        <f t="shared" ref="Z50:Z52" si="72">SUM(T50,W50)</f>
        <v>1186</v>
      </c>
      <c r="AA50" s="14">
        <f t="shared" ref="AA50:AA52" si="73">SUM(U50,X50)</f>
        <v>16563</v>
      </c>
      <c r="AB50" s="14">
        <f t="shared" ref="AB50:AB52" si="74">SUM(V50,Y50)</f>
        <v>10614</v>
      </c>
    </row>
    <row r="51" spans="1:28" x14ac:dyDescent="0.2">
      <c r="A51" s="11" t="s">
        <v>69</v>
      </c>
      <c r="B51" s="12">
        <v>7</v>
      </c>
      <c r="C51" s="12">
        <v>76363</v>
      </c>
      <c r="D51" s="13">
        <f>C51-E51-F51-G51-H51-I51-J51</f>
        <v>3808</v>
      </c>
      <c r="E51" s="12">
        <v>1520</v>
      </c>
      <c r="F51" s="12">
        <v>808</v>
      </c>
      <c r="G51" s="12">
        <v>382</v>
      </c>
      <c r="H51" s="12">
        <v>24842</v>
      </c>
      <c r="I51" s="12">
        <v>29507</v>
      </c>
      <c r="J51" s="12">
        <v>15496</v>
      </c>
      <c r="K51" s="14">
        <f t="shared" ref="K51:M53" si="75">SUM(E51,H51)</f>
        <v>26362</v>
      </c>
      <c r="L51" s="14">
        <f t="shared" si="75"/>
        <v>30315</v>
      </c>
      <c r="M51" s="14">
        <f t="shared" si="75"/>
        <v>15878</v>
      </c>
      <c r="O51" s="22"/>
      <c r="P51" s="15" t="s">
        <v>129</v>
      </c>
      <c r="Q51" s="9">
        <v>14</v>
      </c>
      <c r="R51" s="9">
        <v>25341</v>
      </c>
      <c r="S51" s="16">
        <f>R51-T51-U51-V51-W51-X51-Y51</f>
        <v>3620</v>
      </c>
      <c r="T51" s="9">
        <v>3</v>
      </c>
      <c r="U51" s="9">
        <v>98</v>
      </c>
      <c r="V51" s="9">
        <v>68</v>
      </c>
      <c r="W51" s="9">
        <v>884</v>
      </c>
      <c r="X51" s="9">
        <v>13612</v>
      </c>
      <c r="Y51" s="9">
        <v>7056</v>
      </c>
      <c r="Z51" s="17">
        <f t="shared" si="72"/>
        <v>887</v>
      </c>
      <c r="AA51" s="17">
        <f t="shared" si="73"/>
        <v>13710</v>
      </c>
      <c r="AB51" s="17">
        <f t="shared" si="74"/>
        <v>7124</v>
      </c>
    </row>
    <row r="52" spans="1:28" ht="17" thickBot="1" x14ac:dyDescent="0.25">
      <c r="A52" s="15" t="s">
        <v>69</v>
      </c>
      <c r="B52" s="9">
        <v>9</v>
      </c>
      <c r="C52" s="9">
        <v>82762</v>
      </c>
      <c r="D52" s="16">
        <f>C52-E52-F52-G52-H52-I52-J52</f>
        <v>4182</v>
      </c>
      <c r="E52" s="9">
        <v>1630</v>
      </c>
      <c r="F52" s="9">
        <v>915</v>
      </c>
      <c r="G52" s="9">
        <v>385</v>
      </c>
      <c r="H52" s="9">
        <v>26927</v>
      </c>
      <c r="I52" s="9">
        <v>33040</v>
      </c>
      <c r="J52" s="9">
        <v>15683</v>
      </c>
      <c r="K52" s="17">
        <f t="shared" si="75"/>
        <v>28557</v>
      </c>
      <c r="L52" s="17">
        <f t="shared" si="75"/>
        <v>33955</v>
      </c>
      <c r="M52" s="17">
        <f t="shared" si="75"/>
        <v>16068</v>
      </c>
      <c r="O52" s="22"/>
      <c r="P52" s="18" t="s">
        <v>129</v>
      </c>
      <c r="Q52" s="19">
        <v>9</v>
      </c>
      <c r="R52" s="19">
        <v>30032</v>
      </c>
      <c r="S52" s="20">
        <f>R52-T52-U52-V52-W52-X52-Y52</f>
        <v>4219</v>
      </c>
      <c r="T52" s="19">
        <v>9</v>
      </c>
      <c r="U52" s="19">
        <v>122</v>
      </c>
      <c r="V52" s="19">
        <v>157</v>
      </c>
      <c r="W52" s="19">
        <v>1056</v>
      </c>
      <c r="X52" s="19">
        <v>14403</v>
      </c>
      <c r="Y52" s="19">
        <v>10066</v>
      </c>
      <c r="Z52" s="21">
        <f t="shared" si="72"/>
        <v>1065</v>
      </c>
      <c r="AA52" s="21">
        <f t="shared" si="73"/>
        <v>14525</v>
      </c>
      <c r="AB52" s="21">
        <f t="shared" si="74"/>
        <v>10223</v>
      </c>
    </row>
    <row r="53" spans="1:28" ht="17" thickBot="1" x14ac:dyDescent="0.25">
      <c r="A53" s="18" t="s">
        <v>69</v>
      </c>
      <c r="B53" s="19">
        <v>11</v>
      </c>
      <c r="C53" s="19">
        <v>47443</v>
      </c>
      <c r="D53" s="20">
        <f>C53-E53-F53-G53-H53-I53-J53</f>
        <v>3524</v>
      </c>
      <c r="E53" s="19">
        <v>848</v>
      </c>
      <c r="F53" s="19">
        <v>579</v>
      </c>
      <c r="G53" s="19">
        <v>127</v>
      </c>
      <c r="H53" s="19">
        <v>14379</v>
      </c>
      <c r="I53" s="19">
        <v>20700</v>
      </c>
      <c r="J53" s="19">
        <v>7286</v>
      </c>
      <c r="K53" s="21">
        <f t="shared" si="75"/>
        <v>15227</v>
      </c>
      <c r="L53" s="21">
        <f t="shared" si="75"/>
        <v>21279</v>
      </c>
      <c r="M53" s="21">
        <f t="shared" si="75"/>
        <v>7413</v>
      </c>
      <c r="O53" s="22"/>
      <c r="P53" s="9"/>
      <c r="Q53" s="9" t="s">
        <v>57</v>
      </c>
      <c r="R53" s="9">
        <f t="shared" ref="R53:AB53" si="76">AVERAGE(R50:R52)</f>
        <v>29601.333333333332</v>
      </c>
      <c r="S53" s="9">
        <f t="shared" si="76"/>
        <v>4302.333333333333</v>
      </c>
      <c r="T53" s="9">
        <f t="shared" si="76"/>
        <v>6</v>
      </c>
      <c r="U53" s="9">
        <f t="shared" si="76"/>
        <v>115</v>
      </c>
      <c r="V53" s="9">
        <f t="shared" si="76"/>
        <v>119</v>
      </c>
      <c r="W53" s="9">
        <f t="shared" si="76"/>
        <v>1040</v>
      </c>
      <c r="X53" s="9">
        <f t="shared" si="76"/>
        <v>14817.666666666666</v>
      </c>
      <c r="Y53" s="9">
        <f t="shared" si="76"/>
        <v>9201.3333333333339</v>
      </c>
      <c r="Z53" s="9">
        <f t="shared" si="76"/>
        <v>1046</v>
      </c>
      <c r="AA53" s="9">
        <f t="shared" si="76"/>
        <v>14932.666666666666</v>
      </c>
      <c r="AB53" s="9">
        <f t="shared" si="76"/>
        <v>9320.3333333333339</v>
      </c>
    </row>
    <row r="54" spans="1:28" ht="17" thickBot="1" x14ac:dyDescent="0.25">
      <c r="A54" s="9"/>
      <c r="B54" s="9" t="s">
        <v>57</v>
      </c>
      <c r="C54" s="9">
        <f t="shared" ref="C54:M54" si="77">AVERAGE(C51:C53)</f>
        <v>68856</v>
      </c>
      <c r="D54" s="9">
        <f t="shared" si="77"/>
        <v>3838</v>
      </c>
      <c r="E54" s="9">
        <f t="shared" si="77"/>
        <v>1332.6666666666667</v>
      </c>
      <c r="F54" s="9">
        <f t="shared" si="77"/>
        <v>767.33333333333337</v>
      </c>
      <c r="G54" s="9">
        <f t="shared" si="77"/>
        <v>298</v>
      </c>
      <c r="H54" s="9">
        <f t="shared" si="77"/>
        <v>22049.333333333332</v>
      </c>
      <c r="I54" s="9">
        <f t="shared" si="77"/>
        <v>27749</v>
      </c>
      <c r="J54" s="9">
        <f t="shared" si="77"/>
        <v>12821.666666666666</v>
      </c>
      <c r="K54" s="9">
        <f t="shared" si="77"/>
        <v>23382</v>
      </c>
      <c r="L54" s="9">
        <f t="shared" si="77"/>
        <v>28516.333333333332</v>
      </c>
      <c r="M54" s="9">
        <f t="shared" si="77"/>
        <v>13119.666666666666</v>
      </c>
      <c r="O54" s="22"/>
      <c r="P54" s="11" t="s">
        <v>131</v>
      </c>
      <c r="Q54" s="12">
        <v>12</v>
      </c>
      <c r="R54" s="12">
        <v>53095</v>
      </c>
      <c r="S54" s="13">
        <f>R54-T54-U54-V54-W54-X54-Y54</f>
        <v>4653</v>
      </c>
      <c r="T54" s="12">
        <v>109</v>
      </c>
      <c r="U54" s="12">
        <v>145</v>
      </c>
      <c r="V54" s="12">
        <v>174</v>
      </c>
      <c r="W54" s="12">
        <v>7791</v>
      </c>
      <c r="X54" s="12">
        <v>25441</v>
      </c>
      <c r="Y54" s="12">
        <v>14782</v>
      </c>
      <c r="Z54" s="14">
        <f t="shared" ref="Z54:Z56" si="78">SUM(T54,W54)</f>
        <v>7900</v>
      </c>
      <c r="AA54" s="14">
        <f t="shared" ref="AA54:AA56" si="79">SUM(U54,X54)</f>
        <v>25586</v>
      </c>
      <c r="AB54" s="14">
        <f t="shared" ref="AB54:AB56" si="80">SUM(V54,Y54)</f>
        <v>14956</v>
      </c>
    </row>
    <row r="55" spans="1:28" x14ac:dyDescent="0.2">
      <c r="A55" s="11" t="s">
        <v>70</v>
      </c>
      <c r="B55" s="12">
        <v>8</v>
      </c>
      <c r="C55" s="12">
        <v>107189</v>
      </c>
      <c r="D55" s="13">
        <f>C55-E55-F55-G55-H55-I55-J55</f>
        <v>5666</v>
      </c>
      <c r="E55" s="12">
        <v>3173</v>
      </c>
      <c r="F55" s="12">
        <v>3223</v>
      </c>
      <c r="G55" s="12">
        <v>1778</v>
      </c>
      <c r="H55" s="12">
        <v>33847</v>
      </c>
      <c r="I55" s="12">
        <v>36407</v>
      </c>
      <c r="J55" s="12">
        <v>23095</v>
      </c>
      <c r="K55" s="14">
        <f t="shared" ref="K55:M57" si="81">SUM(E55,H55)</f>
        <v>37020</v>
      </c>
      <c r="L55" s="14">
        <f t="shared" si="81"/>
        <v>39630</v>
      </c>
      <c r="M55" s="14">
        <f t="shared" si="81"/>
        <v>24873</v>
      </c>
      <c r="O55" s="22"/>
      <c r="P55" s="15" t="s">
        <v>131</v>
      </c>
      <c r="Q55" s="9">
        <v>15</v>
      </c>
      <c r="R55" s="9">
        <v>42359</v>
      </c>
      <c r="S55" s="16">
        <f>R55-T55-U55-V55-W55-X55-Y55</f>
        <v>3574</v>
      </c>
      <c r="T55" s="9">
        <v>115</v>
      </c>
      <c r="U55" s="9">
        <v>161</v>
      </c>
      <c r="V55" s="9">
        <v>128</v>
      </c>
      <c r="W55" s="9">
        <v>5828</v>
      </c>
      <c r="X55" s="9">
        <v>21954</v>
      </c>
      <c r="Y55" s="9">
        <v>10599</v>
      </c>
      <c r="Z55" s="17">
        <f t="shared" si="78"/>
        <v>5943</v>
      </c>
      <c r="AA55" s="17">
        <f t="shared" si="79"/>
        <v>22115</v>
      </c>
      <c r="AB55" s="17">
        <f t="shared" si="80"/>
        <v>10727</v>
      </c>
    </row>
    <row r="56" spans="1:28" ht="17" thickBot="1" x14ac:dyDescent="0.25">
      <c r="A56" s="15" t="s">
        <v>70</v>
      </c>
      <c r="B56" s="9">
        <v>10</v>
      </c>
      <c r="C56" s="9">
        <v>87621</v>
      </c>
      <c r="D56" s="16">
        <f>C56-E56-F56-G56-H56-I56-J56</f>
        <v>4743</v>
      </c>
      <c r="E56" s="9">
        <v>2483</v>
      </c>
      <c r="F56" s="9">
        <v>2435</v>
      </c>
      <c r="G56" s="9">
        <v>1327</v>
      </c>
      <c r="H56" s="9">
        <v>28017</v>
      </c>
      <c r="I56" s="9">
        <v>29777</v>
      </c>
      <c r="J56" s="9">
        <v>18839</v>
      </c>
      <c r="K56" s="17">
        <f t="shared" si="81"/>
        <v>30500</v>
      </c>
      <c r="L56" s="17">
        <f t="shared" si="81"/>
        <v>32212</v>
      </c>
      <c r="M56" s="17">
        <f t="shared" si="81"/>
        <v>20166</v>
      </c>
      <c r="O56" s="22"/>
      <c r="P56" s="18" t="s">
        <v>131</v>
      </c>
      <c r="Q56" s="19">
        <v>9</v>
      </c>
      <c r="R56" s="19">
        <v>30947</v>
      </c>
      <c r="S56" s="20">
        <f>R56-T56-U56-V56-W56-X56-Y56</f>
        <v>3336</v>
      </c>
      <c r="T56" s="19">
        <v>56</v>
      </c>
      <c r="U56" s="19">
        <v>80</v>
      </c>
      <c r="V56" s="19">
        <v>115</v>
      </c>
      <c r="W56" s="19">
        <v>5013</v>
      </c>
      <c r="X56" s="19">
        <v>13542</v>
      </c>
      <c r="Y56" s="19">
        <v>8805</v>
      </c>
      <c r="Z56" s="21">
        <f t="shared" si="78"/>
        <v>5069</v>
      </c>
      <c r="AA56" s="21">
        <f t="shared" si="79"/>
        <v>13622</v>
      </c>
      <c r="AB56" s="21">
        <f t="shared" si="80"/>
        <v>8920</v>
      </c>
    </row>
    <row r="57" spans="1:28" ht="17" thickBot="1" x14ac:dyDescent="0.25">
      <c r="A57" s="18" t="s">
        <v>70</v>
      </c>
      <c r="B57" s="19">
        <v>6</v>
      </c>
      <c r="C57" s="19">
        <v>75476</v>
      </c>
      <c r="D57" s="20">
        <f>C57-E57-F57-G57-H57-I57-J57</f>
        <v>4891</v>
      </c>
      <c r="E57" s="19">
        <v>2164</v>
      </c>
      <c r="F57" s="19">
        <v>2088</v>
      </c>
      <c r="G57" s="19">
        <v>1066</v>
      </c>
      <c r="H57" s="19">
        <v>23935</v>
      </c>
      <c r="I57" s="19">
        <v>25785</v>
      </c>
      <c r="J57" s="19">
        <v>15547</v>
      </c>
      <c r="K57" s="21">
        <f t="shared" si="81"/>
        <v>26099</v>
      </c>
      <c r="L57" s="21">
        <f t="shared" si="81"/>
        <v>27873</v>
      </c>
      <c r="M57" s="21">
        <f t="shared" si="81"/>
        <v>16613</v>
      </c>
      <c r="O57" s="22"/>
      <c r="P57" s="9"/>
      <c r="Q57" s="9" t="s">
        <v>57</v>
      </c>
      <c r="R57" s="9">
        <f t="shared" ref="R57:AB57" si="82">AVERAGE(R54:R56)</f>
        <v>42133.666666666664</v>
      </c>
      <c r="S57" s="9">
        <f t="shared" si="82"/>
        <v>3854.3333333333335</v>
      </c>
      <c r="T57" s="9">
        <f t="shared" si="82"/>
        <v>93.333333333333329</v>
      </c>
      <c r="U57" s="9">
        <f t="shared" si="82"/>
        <v>128.66666666666666</v>
      </c>
      <c r="V57" s="9">
        <f t="shared" si="82"/>
        <v>139</v>
      </c>
      <c r="W57" s="9">
        <f t="shared" si="82"/>
        <v>6210.666666666667</v>
      </c>
      <c r="X57" s="9">
        <f t="shared" si="82"/>
        <v>20312.333333333332</v>
      </c>
      <c r="Y57" s="9">
        <f t="shared" si="82"/>
        <v>11395.333333333334</v>
      </c>
      <c r="Z57" s="9">
        <f t="shared" si="82"/>
        <v>6304</v>
      </c>
      <c r="AA57" s="9">
        <f t="shared" si="82"/>
        <v>20441</v>
      </c>
      <c r="AB57" s="9">
        <f t="shared" si="82"/>
        <v>11534.333333333334</v>
      </c>
    </row>
    <row r="58" spans="1:28" ht="17" thickBot="1" x14ac:dyDescent="0.25">
      <c r="A58" s="9"/>
      <c r="B58" s="9" t="s">
        <v>57</v>
      </c>
      <c r="C58" s="9">
        <f t="shared" ref="C58:M58" si="83">AVERAGE(C55:C57)</f>
        <v>90095.333333333328</v>
      </c>
      <c r="D58" s="9">
        <f t="shared" si="83"/>
        <v>5100</v>
      </c>
      <c r="E58" s="9">
        <f t="shared" si="83"/>
        <v>2606.6666666666665</v>
      </c>
      <c r="F58" s="9">
        <f t="shared" si="83"/>
        <v>2582</v>
      </c>
      <c r="G58" s="9">
        <f t="shared" si="83"/>
        <v>1390.3333333333333</v>
      </c>
      <c r="H58" s="9">
        <f t="shared" si="83"/>
        <v>28599.666666666668</v>
      </c>
      <c r="I58" s="9">
        <f t="shared" si="83"/>
        <v>30656.333333333332</v>
      </c>
      <c r="J58" s="9">
        <f t="shared" si="83"/>
        <v>19160.333333333332</v>
      </c>
      <c r="K58" s="9">
        <f t="shared" si="83"/>
        <v>31206.333333333332</v>
      </c>
      <c r="L58" s="9">
        <f t="shared" si="83"/>
        <v>33238.333333333336</v>
      </c>
      <c r="M58" s="9">
        <f t="shared" si="83"/>
        <v>20550.666666666668</v>
      </c>
      <c r="P58" s="11" t="s">
        <v>133</v>
      </c>
      <c r="Q58" s="12">
        <v>10</v>
      </c>
      <c r="R58" s="12">
        <v>43655</v>
      </c>
      <c r="S58" s="13">
        <f>R58-T58-U58-V58-W58-X58-Y58</f>
        <v>3947</v>
      </c>
      <c r="T58" s="12">
        <v>33</v>
      </c>
      <c r="U58" s="12">
        <v>199</v>
      </c>
      <c r="V58" s="12">
        <v>158</v>
      </c>
      <c r="W58" s="12">
        <v>2901</v>
      </c>
      <c r="X58" s="12">
        <v>24037</v>
      </c>
      <c r="Y58" s="12">
        <v>12380</v>
      </c>
      <c r="Z58" s="14">
        <f t="shared" ref="Z58:Z60" si="84">SUM(T58,W58)</f>
        <v>2934</v>
      </c>
      <c r="AA58" s="14">
        <f t="shared" ref="AA58:AA60" si="85">SUM(U58,X58)</f>
        <v>24236</v>
      </c>
      <c r="AB58" s="14">
        <f t="shared" ref="AB58:AB60" si="86">SUM(V58,Y58)</f>
        <v>12538</v>
      </c>
    </row>
    <row r="59" spans="1:28" x14ac:dyDescent="0.2">
      <c r="A59" s="11" t="s">
        <v>71</v>
      </c>
      <c r="B59" s="12">
        <v>7</v>
      </c>
      <c r="C59" s="12">
        <v>40150</v>
      </c>
      <c r="D59" s="13">
        <f>C59-E59-F59-G59-H59-I59-J59</f>
        <v>3431</v>
      </c>
      <c r="E59" s="12">
        <v>610</v>
      </c>
      <c r="F59" s="12">
        <v>312</v>
      </c>
      <c r="G59" s="12">
        <v>287</v>
      </c>
      <c r="H59" s="12">
        <v>11196</v>
      </c>
      <c r="I59" s="12">
        <v>12569</v>
      </c>
      <c r="J59" s="12">
        <v>11745</v>
      </c>
      <c r="K59" s="14">
        <f t="shared" ref="K59:M61" si="87">SUM(E59,H59)</f>
        <v>11806</v>
      </c>
      <c r="L59" s="14">
        <f t="shared" si="87"/>
        <v>12881</v>
      </c>
      <c r="M59" s="14">
        <f t="shared" si="87"/>
        <v>12032</v>
      </c>
      <c r="P59" s="15" t="s">
        <v>133</v>
      </c>
      <c r="Q59" s="9">
        <v>12</v>
      </c>
      <c r="R59" s="9">
        <v>53916</v>
      </c>
      <c r="S59" s="16">
        <f>R59-T59-U59-V59-W59-X59-Y59</f>
        <v>5529</v>
      </c>
      <c r="T59" s="9">
        <v>65</v>
      </c>
      <c r="U59" s="9">
        <v>211</v>
      </c>
      <c r="V59" s="9">
        <v>161</v>
      </c>
      <c r="W59" s="9">
        <v>4110</v>
      </c>
      <c r="X59" s="9">
        <v>29017</v>
      </c>
      <c r="Y59" s="9">
        <v>14823</v>
      </c>
      <c r="Z59" s="17">
        <f t="shared" si="84"/>
        <v>4175</v>
      </c>
      <c r="AA59" s="17">
        <f t="shared" si="85"/>
        <v>29228</v>
      </c>
      <c r="AB59" s="17">
        <f t="shared" si="86"/>
        <v>14984</v>
      </c>
    </row>
    <row r="60" spans="1:28" ht="17" thickBot="1" x14ac:dyDescent="0.25">
      <c r="A60" s="15" t="s">
        <v>71</v>
      </c>
      <c r="B60" s="9">
        <v>9</v>
      </c>
      <c r="C60" s="9">
        <v>39168</v>
      </c>
      <c r="D60" s="16">
        <f>C60-E60-F60-G60-H60-I60-J60</f>
        <v>4622</v>
      </c>
      <c r="E60" s="9">
        <v>544</v>
      </c>
      <c r="F60" s="9">
        <v>268</v>
      </c>
      <c r="G60" s="9">
        <v>246</v>
      </c>
      <c r="H60" s="9">
        <v>10879</v>
      </c>
      <c r="I60" s="9">
        <v>12973</v>
      </c>
      <c r="J60" s="9">
        <v>9636</v>
      </c>
      <c r="K60" s="17">
        <f t="shared" si="87"/>
        <v>11423</v>
      </c>
      <c r="L60" s="17">
        <f t="shared" si="87"/>
        <v>13241</v>
      </c>
      <c r="M60" s="17">
        <f t="shared" si="87"/>
        <v>9882</v>
      </c>
      <c r="P60" s="18" t="s">
        <v>133</v>
      </c>
      <c r="Q60" s="19">
        <v>14</v>
      </c>
      <c r="R60" s="19">
        <v>50352</v>
      </c>
      <c r="S60" s="20">
        <f>R60-T60-U60-V60-W60-X60-Y60</f>
        <v>5806</v>
      </c>
      <c r="T60" s="19">
        <v>60</v>
      </c>
      <c r="U60" s="19">
        <v>217</v>
      </c>
      <c r="V60" s="19">
        <v>139</v>
      </c>
      <c r="W60" s="19">
        <v>4214</v>
      </c>
      <c r="X60" s="19">
        <v>27305</v>
      </c>
      <c r="Y60" s="19">
        <v>12611</v>
      </c>
      <c r="Z60" s="21">
        <f t="shared" si="84"/>
        <v>4274</v>
      </c>
      <c r="AA60" s="21">
        <f t="shared" si="85"/>
        <v>27522</v>
      </c>
      <c r="AB60" s="21">
        <f t="shared" si="86"/>
        <v>12750</v>
      </c>
    </row>
    <row r="61" spans="1:28" ht="17" thickBot="1" x14ac:dyDescent="0.25">
      <c r="A61" s="18" t="s">
        <v>71</v>
      </c>
      <c r="B61" s="19">
        <v>11</v>
      </c>
      <c r="C61" s="19">
        <v>27143</v>
      </c>
      <c r="D61" s="20">
        <f>C61-E61-F61-G61-H61-I61-J61</f>
        <v>3156</v>
      </c>
      <c r="E61" s="19">
        <v>323</v>
      </c>
      <c r="F61" s="19">
        <v>118</v>
      </c>
      <c r="G61" s="19">
        <v>164</v>
      </c>
      <c r="H61" s="19">
        <v>6933</v>
      </c>
      <c r="I61" s="19">
        <v>8562</v>
      </c>
      <c r="J61" s="19">
        <v>7887</v>
      </c>
      <c r="K61" s="21">
        <f t="shared" si="87"/>
        <v>7256</v>
      </c>
      <c r="L61" s="21">
        <f t="shared" si="87"/>
        <v>8680</v>
      </c>
      <c r="M61" s="21">
        <f t="shared" si="87"/>
        <v>8051</v>
      </c>
      <c r="P61" s="9"/>
      <c r="Q61" s="9" t="s">
        <v>57</v>
      </c>
      <c r="R61" s="9">
        <f t="shared" ref="R61:AB61" si="88">AVERAGE(R58:R60)</f>
        <v>49307.666666666664</v>
      </c>
      <c r="S61" s="9">
        <f t="shared" si="88"/>
        <v>5094</v>
      </c>
      <c r="T61" s="9">
        <f t="shared" si="88"/>
        <v>52.666666666666664</v>
      </c>
      <c r="U61" s="9">
        <f t="shared" si="88"/>
        <v>209</v>
      </c>
      <c r="V61" s="9">
        <f t="shared" si="88"/>
        <v>152.66666666666666</v>
      </c>
      <c r="W61" s="9">
        <f t="shared" si="88"/>
        <v>3741.6666666666665</v>
      </c>
      <c r="X61" s="9">
        <f t="shared" si="88"/>
        <v>26786.333333333332</v>
      </c>
      <c r="Y61" s="9">
        <f t="shared" si="88"/>
        <v>13271.333333333334</v>
      </c>
      <c r="Z61" s="9">
        <f t="shared" si="88"/>
        <v>3794.3333333333335</v>
      </c>
      <c r="AA61" s="9">
        <f t="shared" si="88"/>
        <v>26995.333333333332</v>
      </c>
      <c r="AB61" s="9">
        <f t="shared" si="88"/>
        <v>13424</v>
      </c>
    </row>
    <row r="62" spans="1:28" ht="17" thickBot="1" x14ac:dyDescent="0.25">
      <c r="B62" s="9" t="s">
        <v>57</v>
      </c>
      <c r="C62" s="9">
        <f t="shared" ref="C62:M62" si="89">AVERAGE(C59:C61)</f>
        <v>35487</v>
      </c>
      <c r="D62" s="9">
        <f t="shared" si="89"/>
        <v>3736.3333333333335</v>
      </c>
      <c r="E62" s="9">
        <f t="shared" si="89"/>
        <v>492.33333333333331</v>
      </c>
      <c r="F62" s="9">
        <f t="shared" si="89"/>
        <v>232.66666666666666</v>
      </c>
      <c r="G62" s="9">
        <f t="shared" si="89"/>
        <v>232.33333333333334</v>
      </c>
      <c r="H62" s="9">
        <f t="shared" si="89"/>
        <v>9669.3333333333339</v>
      </c>
      <c r="I62" s="9">
        <f t="shared" si="89"/>
        <v>11368</v>
      </c>
      <c r="J62" s="9">
        <f t="shared" si="89"/>
        <v>9756</v>
      </c>
      <c r="K62" s="9">
        <f t="shared" si="89"/>
        <v>10161.666666666666</v>
      </c>
      <c r="L62" s="9">
        <f t="shared" si="89"/>
        <v>11600.666666666666</v>
      </c>
      <c r="M62" s="9">
        <f t="shared" si="89"/>
        <v>9988.3333333333339</v>
      </c>
      <c r="P62" s="11" t="s">
        <v>135</v>
      </c>
      <c r="Q62" s="12">
        <v>10</v>
      </c>
      <c r="R62" s="12">
        <v>53674</v>
      </c>
      <c r="S62" s="13">
        <f>R62-T62-U62-V62-W62-X62-Y62</f>
        <v>6266</v>
      </c>
      <c r="T62" s="12">
        <v>42</v>
      </c>
      <c r="U62" s="12">
        <v>119</v>
      </c>
      <c r="V62" s="12">
        <v>128</v>
      </c>
      <c r="W62" s="12">
        <v>3821</v>
      </c>
      <c r="X62" s="12">
        <v>26532</v>
      </c>
      <c r="Y62" s="12">
        <v>16766</v>
      </c>
      <c r="Z62" s="14">
        <f t="shared" ref="Z62:Z64" si="90">SUM(T62,W62)</f>
        <v>3863</v>
      </c>
      <c r="AA62" s="14">
        <f t="shared" ref="AA62:AA64" si="91">SUM(U62,X62)</f>
        <v>26651</v>
      </c>
      <c r="AB62" s="14">
        <f t="shared" ref="AB62:AB64" si="92">SUM(V62,Y62)</f>
        <v>16894</v>
      </c>
    </row>
    <row r="63" spans="1:28" x14ac:dyDescent="0.2">
      <c r="A63" s="11" t="s">
        <v>72</v>
      </c>
      <c r="B63" s="12">
        <v>8</v>
      </c>
      <c r="C63" s="12">
        <v>129227</v>
      </c>
      <c r="D63" s="13">
        <f>C63-E63-F63-G63-H63-I63-J63</f>
        <v>3992</v>
      </c>
      <c r="E63" s="12">
        <v>4958</v>
      </c>
      <c r="F63" s="12">
        <v>3366</v>
      </c>
      <c r="G63" s="12">
        <v>1140</v>
      </c>
      <c r="H63" s="12">
        <v>47928</v>
      </c>
      <c r="I63" s="12">
        <v>44973</v>
      </c>
      <c r="J63" s="12">
        <v>22870</v>
      </c>
      <c r="K63" s="14">
        <f t="shared" ref="K63:M65" si="93">SUM(E63,H63)</f>
        <v>52886</v>
      </c>
      <c r="L63" s="14">
        <f t="shared" si="93"/>
        <v>48339</v>
      </c>
      <c r="M63" s="14">
        <f t="shared" si="93"/>
        <v>24010</v>
      </c>
      <c r="P63" s="15" t="s">
        <v>135</v>
      </c>
      <c r="Q63" s="9">
        <v>9</v>
      </c>
      <c r="R63" s="9">
        <v>53473</v>
      </c>
      <c r="S63" s="16">
        <f>R63-T63-U63-V63-W63-X63-Y63</f>
        <v>5934</v>
      </c>
      <c r="T63" s="9">
        <v>37</v>
      </c>
      <c r="U63" s="9">
        <v>131</v>
      </c>
      <c r="V63" s="9">
        <v>147</v>
      </c>
      <c r="W63" s="9">
        <v>3918</v>
      </c>
      <c r="X63" s="9">
        <v>26281</v>
      </c>
      <c r="Y63" s="9">
        <v>17025</v>
      </c>
      <c r="Z63" s="17">
        <f t="shared" si="90"/>
        <v>3955</v>
      </c>
      <c r="AA63" s="17">
        <f t="shared" si="91"/>
        <v>26412</v>
      </c>
      <c r="AB63" s="17">
        <f t="shared" si="92"/>
        <v>17172</v>
      </c>
    </row>
    <row r="64" spans="1:28" ht="17" thickBot="1" x14ac:dyDescent="0.25">
      <c r="A64" s="15" t="s">
        <v>72</v>
      </c>
      <c r="B64" s="9">
        <v>12</v>
      </c>
      <c r="C64" s="9">
        <v>70038</v>
      </c>
      <c r="D64" s="16">
        <f>C64-E64-F64-G64-H64-I64-J64</f>
        <v>2573</v>
      </c>
      <c r="E64" s="9">
        <v>2764</v>
      </c>
      <c r="F64" s="9">
        <v>1675</v>
      </c>
      <c r="G64" s="9">
        <v>729</v>
      </c>
      <c r="H64" s="9">
        <v>25577</v>
      </c>
      <c r="I64" s="9">
        <v>24291</v>
      </c>
      <c r="J64" s="9">
        <v>12429</v>
      </c>
      <c r="K64" s="17">
        <f t="shared" si="93"/>
        <v>28341</v>
      </c>
      <c r="L64" s="17">
        <f t="shared" si="93"/>
        <v>25966</v>
      </c>
      <c r="M64" s="17">
        <f t="shared" si="93"/>
        <v>13158</v>
      </c>
      <c r="P64" s="18" t="s">
        <v>135</v>
      </c>
      <c r="Q64" s="19">
        <v>11</v>
      </c>
      <c r="R64" s="19">
        <v>54274</v>
      </c>
      <c r="S64" s="20">
        <f>R64-T64-U64-V64-W64-X64-Y64</f>
        <v>6678</v>
      </c>
      <c r="T64" s="19">
        <v>41</v>
      </c>
      <c r="U64" s="19">
        <v>127</v>
      </c>
      <c r="V64" s="19">
        <v>104</v>
      </c>
      <c r="W64" s="19">
        <v>4195</v>
      </c>
      <c r="X64" s="19">
        <v>27057</v>
      </c>
      <c r="Y64" s="19">
        <v>16072</v>
      </c>
      <c r="Z64" s="21">
        <f t="shared" si="90"/>
        <v>4236</v>
      </c>
      <c r="AA64" s="21">
        <f t="shared" si="91"/>
        <v>27184</v>
      </c>
      <c r="AB64" s="21">
        <f t="shared" si="92"/>
        <v>16176</v>
      </c>
    </row>
    <row r="65" spans="1:28" ht="17" thickBot="1" x14ac:dyDescent="0.25">
      <c r="A65" s="18" t="s">
        <v>72</v>
      </c>
      <c r="B65" s="19">
        <v>6</v>
      </c>
      <c r="C65" s="19">
        <v>114347</v>
      </c>
      <c r="D65" s="20">
        <f>C65-E65-F65-G65-H65-I65-J65</f>
        <v>3894</v>
      </c>
      <c r="E65" s="19">
        <v>4369</v>
      </c>
      <c r="F65" s="19">
        <v>3051</v>
      </c>
      <c r="G65" s="19">
        <v>899</v>
      </c>
      <c r="H65" s="19">
        <v>42461</v>
      </c>
      <c r="I65" s="19">
        <v>40066</v>
      </c>
      <c r="J65" s="19">
        <v>19607</v>
      </c>
      <c r="K65" s="21">
        <f t="shared" si="93"/>
        <v>46830</v>
      </c>
      <c r="L65" s="21">
        <f t="shared" si="93"/>
        <v>43117</v>
      </c>
      <c r="M65" s="21">
        <f t="shared" si="93"/>
        <v>20506</v>
      </c>
      <c r="Q65" s="9" t="s">
        <v>57</v>
      </c>
      <c r="R65" s="9">
        <f t="shared" ref="R65:AB65" si="94">AVERAGE(R62:R64)</f>
        <v>53807</v>
      </c>
      <c r="S65" s="9">
        <f t="shared" si="94"/>
        <v>6292.666666666667</v>
      </c>
      <c r="T65" s="9">
        <f t="shared" si="94"/>
        <v>40</v>
      </c>
      <c r="U65" s="9">
        <f t="shared" si="94"/>
        <v>125.66666666666667</v>
      </c>
      <c r="V65" s="9">
        <f t="shared" si="94"/>
        <v>126.33333333333333</v>
      </c>
      <c r="W65" s="9">
        <f t="shared" si="94"/>
        <v>3978</v>
      </c>
      <c r="X65" s="9">
        <f t="shared" si="94"/>
        <v>26623.333333333332</v>
      </c>
      <c r="Y65" s="9">
        <f t="shared" si="94"/>
        <v>16621</v>
      </c>
      <c r="Z65" s="9">
        <f t="shared" si="94"/>
        <v>4018</v>
      </c>
      <c r="AA65" s="9">
        <f t="shared" si="94"/>
        <v>26749</v>
      </c>
      <c r="AB65" s="9">
        <f t="shared" si="94"/>
        <v>16747.333333333332</v>
      </c>
    </row>
    <row r="66" spans="1:28" ht="17" thickBot="1" x14ac:dyDescent="0.25">
      <c r="A66" s="9"/>
      <c r="B66" s="9" t="s">
        <v>57</v>
      </c>
      <c r="C66" s="9">
        <f t="shared" ref="C66:M66" si="95">AVERAGE(C63:C65)</f>
        <v>104537.33333333333</v>
      </c>
      <c r="D66" s="9">
        <f t="shared" si="95"/>
        <v>3486.3333333333335</v>
      </c>
      <c r="E66" s="9">
        <f t="shared" si="95"/>
        <v>4030.3333333333335</v>
      </c>
      <c r="F66" s="9">
        <f t="shared" si="95"/>
        <v>2697.3333333333335</v>
      </c>
      <c r="G66" s="9">
        <f t="shared" si="95"/>
        <v>922.66666666666663</v>
      </c>
      <c r="H66" s="9">
        <f t="shared" si="95"/>
        <v>38655.333333333336</v>
      </c>
      <c r="I66" s="9">
        <f t="shared" si="95"/>
        <v>36443.333333333336</v>
      </c>
      <c r="J66" s="9">
        <f t="shared" si="95"/>
        <v>18302</v>
      </c>
      <c r="K66" s="9">
        <f t="shared" si="95"/>
        <v>42685.666666666664</v>
      </c>
      <c r="L66" s="9">
        <f t="shared" si="95"/>
        <v>39140.666666666664</v>
      </c>
      <c r="M66" s="9">
        <f t="shared" si="95"/>
        <v>19224.666666666668</v>
      </c>
      <c r="P66" s="11" t="s">
        <v>128</v>
      </c>
      <c r="Q66" s="12">
        <v>11</v>
      </c>
      <c r="R66" s="12">
        <v>26616</v>
      </c>
      <c r="S66" s="13">
        <f>R66-T66-U66-V66-W66-X66-Y66</f>
        <v>2983</v>
      </c>
      <c r="T66" s="12">
        <v>63</v>
      </c>
      <c r="U66" s="12">
        <v>119</v>
      </c>
      <c r="V66" s="12">
        <v>81</v>
      </c>
      <c r="W66" s="12">
        <v>3777</v>
      </c>
      <c r="X66" s="12">
        <v>11053</v>
      </c>
      <c r="Y66" s="12">
        <v>8540</v>
      </c>
      <c r="Z66" s="14">
        <f t="shared" ref="Z66:Z68" si="96">SUM(T66,W66)</f>
        <v>3840</v>
      </c>
      <c r="AA66" s="14">
        <f t="shared" ref="AA66:AA68" si="97">SUM(U66,X66)</f>
        <v>11172</v>
      </c>
      <c r="AB66" s="14">
        <f t="shared" ref="AB66:AB68" si="98">SUM(V66,Y66)</f>
        <v>8621</v>
      </c>
    </row>
    <row r="67" spans="1:28" x14ac:dyDescent="0.2">
      <c r="A67" s="11" t="s">
        <v>73</v>
      </c>
      <c r="B67" s="12">
        <v>8</v>
      </c>
      <c r="C67" s="12">
        <v>45463</v>
      </c>
      <c r="D67" s="13">
        <f>C67-E67-F67-G67-H67-I67-J67</f>
        <v>2104</v>
      </c>
      <c r="E67" s="12">
        <v>1378</v>
      </c>
      <c r="F67" s="12">
        <v>896</v>
      </c>
      <c r="G67" s="12">
        <v>401</v>
      </c>
      <c r="H67" s="12">
        <v>14673</v>
      </c>
      <c r="I67" s="12">
        <v>16159</v>
      </c>
      <c r="J67" s="12">
        <v>9852</v>
      </c>
      <c r="K67" s="14">
        <f t="shared" ref="K67:M69" si="99">SUM(E67,H67)</f>
        <v>16051</v>
      </c>
      <c r="L67" s="14">
        <f t="shared" si="99"/>
        <v>17055</v>
      </c>
      <c r="M67" s="14">
        <f t="shared" si="99"/>
        <v>10253</v>
      </c>
      <c r="P67" s="15" t="s">
        <v>128</v>
      </c>
      <c r="Q67" s="9">
        <v>14</v>
      </c>
      <c r="R67" s="9">
        <v>24066</v>
      </c>
      <c r="S67" s="16">
        <f>R67-T67-U67-V67-W67-X67-Y67</f>
        <v>3721</v>
      </c>
      <c r="T67" s="9">
        <v>73</v>
      </c>
      <c r="U67" s="9">
        <v>101</v>
      </c>
      <c r="V67" s="9">
        <v>53</v>
      </c>
      <c r="W67" s="9">
        <v>3572</v>
      </c>
      <c r="X67" s="9">
        <v>9487</v>
      </c>
      <c r="Y67" s="9">
        <v>7059</v>
      </c>
      <c r="Z67" s="17">
        <f t="shared" si="96"/>
        <v>3645</v>
      </c>
      <c r="AA67" s="17">
        <f t="shared" si="97"/>
        <v>9588</v>
      </c>
      <c r="AB67" s="17">
        <f t="shared" si="98"/>
        <v>7112</v>
      </c>
    </row>
    <row r="68" spans="1:28" ht="17" thickBot="1" x14ac:dyDescent="0.25">
      <c r="A68" s="15" t="s">
        <v>73</v>
      </c>
      <c r="B68" s="9">
        <v>6</v>
      </c>
      <c r="C68" s="9">
        <v>62580</v>
      </c>
      <c r="D68" s="16">
        <f>C68-E68-F68-G68-H68-I68-J68</f>
        <v>2994</v>
      </c>
      <c r="E68" s="9">
        <v>1333</v>
      </c>
      <c r="F68" s="9">
        <v>1022</v>
      </c>
      <c r="G68" s="9">
        <v>525</v>
      </c>
      <c r="H68" s="9">
        <v>20114</v>
      </c>
      <c r="I68" s="9">
        <v>23037</v>
      </c>
      <c r="J68" s="9">
        <v>13555</v>
      </c>
      <c r="K68" s="17">
        <f t="shared" si="99"/>
        <v>21447</v>
      </c>
      <c r="L68" s="17">
        <f t="shared" si="99"/>
        <v>24059</v>
      </c>
      <c r="M68" s="17">
        <f t="shared" si="99"/>
        <v>14080</v>
      </c>
      <c r="P68" s="18" t="s">
        <v>128</v>
      </c>
      <c r="Q68" s="19">
        <v>8</v>
      </c>
      <c r="R68" s="19">
        <v>34400</v>
      </c>
      <c r="S68" s="20">
        <f>R68-T68-U68-V68-W68-X68-Y68</f>
        <v>3974</v>
      </c>
      <c r="T68" s="19">
        <v>107</v>
      </c>
      <c r="U68" s="19">
        <v>125</v>
      </c>
      <c r="V68" s="19">
        <v>104</v>
      </c>
      <c r="W68" s="19">
        <v>4393</v>
      </c>
      <c r="X68" s="19">
        <v>13712</v>
      </c>
      <c r="Y68" s="19">
        <v>11985</v>
      </c>
      <c r="Z68" s="21">
        <f t="shared" si="96"/>
        <v>4500</v>
      </c>
      <c r="AA68" s="21">
        <f t="shared" si="97"/>
        <v>13837</v>
      </c>
      <c r="AB68" s="21">
        <f t="shared" si="98"/>
        <v>12089</v>
      </c>
    </row>
    <row r="69" spans="1:28" ht="17" thickBot="1" x14ac:dyDescent="0.25">
      <c r="A69" s="18" t="s">
        <v>73</v>
      </c>
      <c r="B69" s="19">
        <v>4</v>
      </c>
      <c r="C69" s="19">
        <v>59974</v>
      </c>
      <c r="D69" s="20">
        <f>C69-E69-F69-G69-H69-I69-J69</f>
        <v>3540</v>
      </c>
      <c r="E69" s="19">
        <v>1110</v>
      </c>
      <c r="F69" s="19">
        <v>777</v>
      </c>
      <c r="G69" s="19">
        <v>477</v>
      </c>
      <c r="H69" s="19">
        <v>19327</v>
      </c>
      <c r="I69" s="19">
        <v>21888</v>
      </c>
      <c r="J69" s="19">
        <v>12855</v>
      </c>
      <c r="K69" s="21">
        <f t="shared" si="99"/>
        <v>20437</v>
      </c>
      <c r="L69" s="21">
        <f t="shared" si="99"/>
        <v>22665</v>
      </c>
      <c r="M69" s="21">
        <f t="shared" si="99"/>
        <v>13332</v>
      </c>
      <c r="P69" s="9"/>
      <c r="Q69" s="9" t="s">
        <v>57</v>
      </c>
      <c r="R69" s="9">
        <f t="shared" ref="R69:AB69" si="100">AVERAGE(R66:R68)</f>
        <v>28360.666666666668</v>
      </c>
      <c r="S69" s="9">
        <f t="shared" si="100"/>
        <v>3559.3333333333335</v>
      </c>
      <c r="T69" s="9">
        <f t="shared" si="100"/>
        <v>81</v>
      </c>
      <c r="U69" s="9">
        <f t="shared" si="100"/>
        <v>115</v>
      </c>
      <c r="V69" s="9">
        <f t="shared" si="100"/>
        <v>79.333333333333329</v>
      </c>
      <c r="W69" s="9">
        <f t="shared" si="100"/>
        <v>3914</v>
      </c>
      <c r="X69" s="9">
        <f t="shared" si="100"/>
        <v>11417.333333333334</v>
      </c>
      <c r="Y69" s="9">
        <f t="shared" si="100"/>
        <v>9194.6666666666661</v>
      </c>
      <c r="Z69" s="9">
        <f t="shared" si="100"/>
        <v>3995</v>
      </c>
      <c r="AA69" s="9">
        <f t="shared" si="100"/>
        <v>11532.333333333334</v>
      </c>
      <c r="AB69" s="9">
        <f t="shared" si="100"/>
        <v>9274</v>
      </c>
    </row>
    <row r="70" spans="1:28" ht="17" thickBot="1" x14ac:dyDescent="0.25">
      <c r="A70" s="9"/>
      <c r="B70" s="9" t="s">
        <v>57</v>
      </c>
      <c r="C70" s="9">
        <f t="shared" ref="C70:M70" si="101">AVERAGE(C67:C69)</f>
        <v>56005.666666666664</v>
      </c>
      <c r="D70" s="9">
        <f t="shared" si="101"/>
        <v>2879.3333333333335</v>
      </c>
      <c r="E70" s="9">
        <f t="shared" si="101"/>
        <v>1273.6666666666667</v>
      </c>
      <c r="F70" s="9">
        <f t="shared" si="101"/>
        <v>898.33333333333337</v>
      </c>
      <c r="G70" s="9">
        <f t="shared" si="101"/>
        <v>467.66666666666669</v>
      </c>
      <c r="H70" s="9">
        <f t="shared" si="101"/>
        <v>18038</v>
      </c>
      <c r="I70" s="9">
        <f t="shared" si="101"/>
        <v>20361.333333333332</v>
      </c>
      <c r="J70" s="9">
        <f t="shared" si="101"/>
        <v>12087.333333333334</v>
      </c>
      <c r="K70" s="9">
        <f t="shared" si="101"/>
        <v>19311.666666666668</v>
      </c>
      <c r="L70" s="9">
        <f t="shared" si="101"/>
        <v>21259.666666666668</v>
      </c>
      <c r="M70" s="9">
        <f t="shared" si="101"/>
        <v>12555</v>
      </c>
      <c r="P70" s="11" t="s">
        <v>130</v>
      </c>
      <c r="Q70" s="12">
        <v>11</v>
      </c>
      <c r="R70" s="12">
        <v>24094</v>
      </c>
      <c r="S70" s="13">
        <f>R70-T70-U70-V70-W70-X70-Y70</f>
        <v>3890</v>
      </c>
      <c r="T70" s="12">
        <v>80</v>
      </c>
      <c r="U70" s="12">
        <v>118</v>
      </c>
      <c r="V70" s="12">
        <v>65</v>
      </c>
      <c r="W70" s="12">
        <v>3975</v>
      </c>
      <c r="X70" s="12">
        <v>9139</v>
      </c>
      <c r="Y70" s="12">
        <v>6827</v>
      </c>
      <c r="Z70" s="14">
        <f t="shared" ref="Z70:Z72" si="102">SUM(T70,W70)</f>
        <v>4055</v>
      </c>
      <c r="AA70" s="14">
        <f t="shared" ref="AA70:AA72" si="103">SUM(U70,X70)</f>
        <v>9257</v>
      </c>
      <c r="AB70" s="14">
        <f t="shared" ref="AB70:AB72" si="104">SUM(V70,Y70)</f>
        <v>6892</v>
      </c>
    </row>
    <row r="71" spans="1:28" x14ac:dyDescent="0.2">
      <c r="A71" s="11" t="s">
        <v>74</v>
      </c>
      <c r="B71" s="12">
        <v>6</v>
      </c>
      <c r="C71" s="12">
        <v>66007</v>
      </c>
      <c r="D71" s="13">
        <f>C71-E71-F71-G71-H71-I71-J71</f>
        <v>4749</v>
      </c>
      <c r="E71" s="12">
        <v>2665</v>
      </c>
      <c r="F71" s="12">
        <v>2207</v>
      </c>
      <c r="G71" s="12">
        <v>338</v>
      </c>
      <c r="H71" s="12">
        <v>23125</v>
      </c>
      <c r="I71" s="12">
        <v>22655</v>
      </c>
      <c r="J71" s="12">
        <v>10268</v>
      </c>
      <c r="K71" s="14">
        <f t="shared" ref="K71:K73" si="105">SUM(E71,H71)</f>
        <v>25790</v>
      </c>
      <c r="L71" s="14">
        <f t="shared" ref="L71:L73" si="106">SUM(F71,I71)</f>
        <v>24862</v>
      </c>
      <c r="M71" s="14">
        <f t="shared" ref="M71:M73" si="107">SUM(G71,J71)</f>
        <v>10606</v>
      </c>
      <c r="P71" s="15" t="s">
        <v>130</v>
      </c>
      <c r="Q71" s="9">
        <v>14</v>
      </c>
      <c r="R71" s="9">
        <v>16760</v>
      </c>
      <c r="S71" s="16">
        <f>R71-T71-U71-V71-W71-X71-Y71</f>
        <v>3182</v>
      </c>
      <c r="T71" s="9">
        <v>49</v>
      </c>
      <c r="U71" s="9">
        <v>79</v>
      </c>
      <c r="V71" s="9">
        <v>33</v>
      </c>
      <c r="W71" s="9">
        <v>2835</v>
      </c>
      <c r="X71" s="9">
        <v>6038</v>
      </c>
      <c r="Y71" s="9">
        <v>4544</v>
      </c>
      <c r="Z71" s="17">
        <f t="shared" si="102"/>
        <v>2884</v>
      </c>
      <c r="AA71" s="17">
        <f t="shared" si="103"/>
        <v>6117</v>
      </c>
      <c r="AB71" s="17">
        <f t="shared" si="104"/>
        <v>4577</v>
      </c>
    </row>
    <row r="72" spans="1:28" ht="17" thickBot="1" x14ac:dyDescent="0.25">
      <c r="A72" s="15" t="s">
        <v>74</v>
      </c>
      <c r="B72" s="9">
        <v>4</v>
      </c>
      <c r="C72" s="9">
        <v>65916</v>
      </c>
      <c r="D72" s="16">
        <f>C72-E72-F72-G72-H72-I72-J72</f>
        <v>4721</v>
      </c>
      <c r="E72" s="9">
        <v>2430</v>
      </c>
      <c r="F72" s="9">
        <v>2192</v>
      </c>
      <c r="G72" s="9">
        <v>307</v>
      </c>
      <c r="H72" s="9">
        <v>22623</v>
      </c>
      <c r="I72" s="9">
        <v>23291</v>
      </c>
      <c r="J72" s="9">
        <v>10352</v>
      </c>
      <c r="K72" s="17">
        <f t="shared" si="105"/>
        <v>25053</v>
      </c>
      <c r="L72" s="17">
        <f t="shared" si="106"/>
        <v>25483</v>
      </c>
      <c r="M72" s="17">
        <f t="shared" si="107"/>
        <v>10659</v>
      </c>
      <c r="P72" s="18" t="s">
        <v>130</v>
      </c>
      <c r="Q72" s="19">
        <v>17</v>
      </c>
      <c r="R72" s="19">
        <v>11402</v>
      </c>
      <c r="S72" s="20">
        <f>R72-T72-U72-V72-W72-X72-Y72</f>
        <v>2344</v>
      </c>
      <c r="T72" s="19">
        <v>47</v>
      </c>
      <c r="U72" s="19">
        <v>50</v>
      </c>
      <c r="V72" s="19">
        <v>21</v>
      </c>
      <c r="W72" s="19">
        <v>1968</v>
      </c>
      <c r="X72" s="19">
        <v>4058</v>
      </c>
      <c r="Y72" s="19">
        <v>2914</v>
      </c>
      <c r="Z72" s="21">
        <f t="shared" si="102"/>
        <v>2015</v>
      </c>
      <c r="AA72" s="21">
        <f t="shared" si="103"/>
        <v>4108</v>
      </c>
      <c r="AB72" s="21">
        <f t="shared" si="104"/>
        <v>2935</v>
      </c>
    </row>
    <row r="73" spans="1:28" ht="17" thickBot="1" x14ac:dyDescent="0.25">
      <c r="A73" s="18" t="s">
        <v>74</v>
      </c>
      <c r="B73" s="19">
        <v>8</v>
      </c>
      <c r="C73" s="19">
        <v>59484</v>
      </c>
      <c r="D73" s="20">
        <f>C73-E73-F73-G73-H73-I73-J73</f>
        <v>2748</v>
      </c>
      <c r="E73" s="19">
        <v>2431</v>
      </c>
      <c r="F73" s="19">
        <v>1866</v>
      </c>
      <c r="G73" s="19">
        <v>317</v>
      </c>
      <c r="H73" s="19">
        <v>22397</v>
      </c>
      <c r="I73" s="19">
        <v>20138</v>
      </c>
      <c r="J73" s="19">
        <v>9587</v>
      </c>
      <c r="K73" s="21">
        <f t="shared" si="105"/>
        <v>24828</v>
      </c>
      <c r="L73" s="21">
        <f t="shared" si="106"/>
        <v>22004</v>
      </c>
      <c r="M73" s="21">
        <f t="shared" si="107"/>
        <v>9904</v>
      </c>
      <c r="P73" s="9"/>
      <c r="Q73" s="9" t="s">
        <v>57</v>
      </c>
      <c r="R73" s="9">
        <f t="shared" ref="R73:AB73" si="108">AVERAGE(R70:R72)</f>
        <v>17418.666666666668</v>
      </c>
      <c r="S73" s="9">
        <f t="shared" si="108"/>
        <v>3138.6666666666665</v>
      </c>
      <c r="T73" s="9">
        <f t="shared" si="108"/>
        <v>58.666666666666664</v>
      </c>
      <c r="U73" s="9">
        <f t="shared" si="108"/>
        <v>82.333333333333329</v>
      </c>
      <c r="V73" s="9">
        <f t="shared" si="108"/>
        <v>39.666666666666664</v>
      </c>
      <c r="W73" s="9">
        <f t="shared" si="108"/>
        <v>2926</v>
      </c>
      <c r="X73" s="9">
        <f t="shared" si="108"/>
        <v>6411.666666666667</v>
      </c>
      <c r="Y73" s="9">
        <f t="shared" si="108"/>
        <v>4761.666666666667</v>
      </c>
      <c r="Z73" s="9">
        <f t="shared" si="108"/>
        <v>2984.6666666666665</v>
      </c>
      <c r="AA73" s="9">
        <f t="shared" si="108"/>
        <v>6494</v>
      </c>
      <c r="AB73" s="9">
        <f t="shared" si="108"/>
        <v>4801.333333333333</v>
      </c>
    </row>
    <row r="74" spans="1:28" x14ac:dyDescent="0.2">
      <c r="A74" s="9"/>
      <c r="B74" s="9" t="s">
        <v>57</v>
      </c>
      <c r="C74" s="9">
        <f t="shared" ref="C74:M74" si="109">AVERAGE(C71:C73)</f>
        <v>63802.333333333336</v>
      </c>
      <c r="D74" s="9">
        <f t="shared" si="109"/>
        <v>4072.6666666666665</v>
      </c>
      <c r="E74" s="9">
        <f t="shared" si="109"/>
        <v>2508.6666666666665</v>
      </c>
      <c r="F74" s="9">
        <f t="shared" si="109"/>
        <v>2088.3333333333335</v>
      </c>
      <c r="G74" s="9">
        <f t="shared" si="109"/>
        <v>320.66666666666669</v>
      </c>
      <c r="H74" s="9">
        <f t="shared" si="109"/>
        <v>22715</v>
      </c>
      <c r="I74" s="9">
        <f t="shared" si="109"/>
        <v>22028</v>
      </c>
      <c r="J74" s="9">
        <f t="shared" si="109"/>
        <v>10069</v>
      </c>
      <c r="K74" s="9">
        <f t="shared" si="109"/>
        <v>25223.666666666668</v>
      </c>
      <c r="L74" s="9">
        <f t="shared" si="109"/>
        <v>24116.333333333332</v>
      </c>
      <c r="M74" s="9">
        <f t="shared" si="109"/>
        <v>10389.666666666666</v>
      </c>
      <c r="P74" s="11" t="s">
        <v>132</v>
      </c>
      <c r="Q74" s="12">
        <v>12</v>
      </c>
      <c r="R74" s="12">
        <v>55413</v>
      </c>
      <c r="S74" s="13">
        <f>R74-T74-U74-V74-W74-X74-Y74</f>
        <v>3779</v>
      </c>
      <c r="T74" s="12">
        <v>245</v>
      </c>
      <c r="U74" s="12">
        <v>147</v>
      </c>
      <c r="V74" s="12">
        <v>132</v>
      </c>
      <c r="W74" s="12">
        <v>12130</v>
      </c>
      <c r="X74" s="12">
        <v>19416</v>
      </c>
      <c r="Y74" s="12">
        <v>19564</v>
      </c>
      <c r="Z74" s="14">
        <f t="shared" ref="Z74:Z76" si="110">SUM(T74,W74)</f>
        <v>12375</v>
      </c>
      <c r="AA74" s="14">
        <f t="shared" ref="AA74:AA76" si="111">SUM(U74,X74)</f>
        <v>19563</v>
      </c>
      <c r="AB74" s="14">
        <f t="shared" ref="AB74:AB76" si="112">SUM(V74,Y74)</f>
        <v>19696</v>
      </c>
    </row>
    <row r="75" spans="1:28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P75" s="15" t="s">
        <v>132</v>
      </c>
      <c r="Q75" s="9">
        <v>9</v>
      </c>
      <c r="R75" s="9">
        <v>40645</v>
      </c>
      <c r="S75" s="16">
        <f>R75-T75-U75-V75-W75-X75-Y75</f>
        <v>3707</v>
      </c>
      <c r="T75" s="9">
        <v>163</v>
      </c>
      <c r="U75" s="9">
        <v>102</v>
      </c>
      <c r="V75" s="9">
        <v>90</v>
      </c>
      <c r="W75" s="9">
        <v>8568</v>
      </c>
      <c r="X75" s="9">
        <v>13913</v>
      </c>
      <c r="Y75" s="9">
        <v>14102</v>
      </c>
      <c r="Z75" s="17">
        <f t="shared" si="110"/>
        <v>8731</v>
      </c>
      <c r="AA75" s="17">
        <f t="shared" si="111"/>
        <v>14015</v>
      </c>
      <c r="AB75" s="17">
        <f t="shared" si="112"/>
        <v>14192</v>
      </c>
    </row>
    <row r="76" spans="1:28" ht="48" thickBot="1" x14ac:dyDescent="0.6">
      <c r="A76" s="38" t="s">
        <v>108</v>
      </c>
      <c r="P76" s="18" t="s">
        <v>132</v>
      </c>
      <c r="Q76" s="19">
        <v>15</v>
      </c>
      <c r="R76" s="19">
        <v>68092</v>
      </c>
      <c r="S76" s="20">
        <f>R76-T76-U76-V76-W76-X76-Y76</f>
        <v>4028</v>
      </c>
      <c r="T76" s="19">
        <v>291</v>
      </c>
      <c r="U76" s="19">
        <v>186</v>
      </c>
      <c r="V76" s="19">
        <v>120</v>
      </c>
      <c r="W76" s="19">
        <v>14741</v>
      </c>
      <c r="X76" s="19">
        <v>26515</v>
      </c>
      <c r="Y76" s="19">
        <v>22211</v>
      </c>
      <c r="Z76" s="21">
        <f t="shared" si="110"/>
        <v>15032</v>
      </c>
      <c r="AA76" s="21">
        <f t="shared" si="111"/>
        <v>26701</v>
      </c>
      <c r="AB76" s="21">
        <f t="shared" si="112"/>
        <v>22331</v>
      </c>
    </row>
    <row r="77" spans="1:28" ht="35" thickBot="1" x14ac:dyDescent="0.25">
      <c r="A77" s="9" t="s">
        <v>43</v>
      </c>
      <c r="B77" s="9" t="s">
        <v>44</v>
      </c>
      <c r="C77" s="9" t="s">
        <v>45</v>
      </c>
      <c r="D77" s="10" t="s">
        <v>46</v>
      </c>
      <c r="E77" s="9" t="s">
        <v>47</v>
      </c>
      <c r="F77" s="9" t="s">
        <v>48</v>
      </c>
      <c r="G77" s="9" t="s">
        <v>49</v>
      </c>
      <c r="H77" s="9" t="s">
        <v>50</v>
      </c>
      <c r="I77" s="9" t="s">
        <v>51</v>
      </c>
      <c r="J77" s="9" t="s">
        <v>52</v>
      </c>
      <c r="K77" s="9" t="s">
        <v>53</v>
      </c>
      <c r="L77" s="9" t="s">
        <v>54</v>
      </c>
      <c r="M77" s="9" t="s">
        <v>55</v>
      </c>
      <c r="P77" s="9"/>
      <c r="Q77" s="9" t="s">
        <v>57</v>
      </c>
      <c r="R77" s="9">
        <f t="shared" ref="R77:AB77" si="113">AVERAGE(R74:R76)</f>
        <v>54716.666666666664</v>
      </c>
      <c r="S77" s="9">
        <f t="shared" si="113"/>
        <v>3838</v>
      </c>
      <c r="T77" s="9">
        <f t="shared" si="113"/>
        <v>233</v>
      </c>
      <c r="U77" s="9">
        <f t="shared" si="113"/>
        <v>145</v>
      </c>
      <c r="V77" s="9">
        <f t="shared" si="113"/>
        <v>114</v>
      </c>
      <c r="W77" s="9">
        <f t="shared" si="113"/>
        <v>11813</v>
      </c>
      <c r="X77" s="9">
        <f t="shared" si="113"/>
        <v>19948</v>
      </c>
      <c r="Y77" s="9">
        <f t="shared" si="113"/>
        <v>18625.666666666668</v>
      </c>
      <c r="Z77" s="9">
        <f t="shared" si="113"/>
        <v>12046</v>
      </c>
      <c r="AA77" s="9">
        <f t="shared" si="113"/>
        <v>20093</v>
      </c>
      <c r="AB77" s="9">
        <f t="shared" si="113"/>
        <v>18739.666666666668</v>
      </c>
    </row>
    <row r="78" spans="1:28" x14ac:dyDescent="0.2">
      <c r="A78" s="11" t="s">
        <v>75</v>
      </c>
      <c r="B78" s="12">
        <v>19</v>
      </c>
      <c r="C78" s="12">
        <v>76282</v>
      </c>
      <c r="D78" s="13">
        <f>C78-E78-F78-G78-H78-I78-J78</f>
        <v>4068</v>
      </c>
      <c r="E78" s="12">
        <v>480</v>
      </c>
      <c r="F78" s="12">
        <v>407</v>
      </c>
      <c r="G78" s="12">
        <v>225</v>
      </c>
      <c r="H78" s="12">
        <v>28449</v>
      </c>
      <c r="I78" s="12">
        <v>26102</v>
      </c>
      <c r="J78" s="12">
        <v>16551</v>
      </c>
      <c r="K78" s="14">
        <f t="shared" ref="K78:K80" si="114">SUM(E78,H78)</f>
        <v>28929</v>
      </c>
      <c r="L78" s="14">
        <f t="shared" ref="L78:L80" si="115">SUM(F78,I78)</f>
        <v>26509</v>
      </c>
      <c r="M78" s="14">
        <f t="shared" ref="M78:M80" si="116">SUM(G78,J78)</f>
        <v>16776</v>
      </c>
      <c r="P78" s="11" t="s">
        <v>134</v>
      </c>
      <c r="Q78" s="12">
        <v>10</v>
      </c>
      <c r="R78" s="12">
        <v>116625</v>
      </c>
      <c r="S78" s="13">
        <f>R78-T78-U78-V78-W78-X78-Y78</f>
        <v>7043</v>
      </c>
      <c r="T78" s="12">
        <v>557</v>
      </c>
      <c r="U78" s="12">
        <v>476</v>
      </c>
      <c r="V78" s="12">
        <v>322</v>
      </c>
      <c r="W78" s="12">
        <v>29647</v>
      </c>
      <c r="X78" s="12">
        <v>49234</v>
      </c>
      <c r="Y78" s="12">
        <v>29346</v>
      </c>
      <c r="Z78" s="14">
        <f t="shared" ref="Z78:Z80" si="117">SUM(T78,W78)</f>
        <v>30204</v>
      </c>
      <c r="AA78" s="14">
        <f t="shared" ref="AA78:AA80" si="118">SUM(U78,X78)</f>
        <v>49710</v>
      </c>
      <c r="AB78" s="14">
        <f t="shared" ref="AB78:AB80" si="119">SUM(V78,Y78)</f>
        <v>29668</v>
      </c>
    </row>
    <row r="79" spans="1:28" x14ac:dyDescent="0.2">
      <c r="A79" s="15" t="s">
        <v>75</v>
      </c>
      <c r="B79" s="9">
        <v>15</v>
      </c>
      <c r="C79" s="9">
        <v>86220</v>
      </c>
      <c r="D79" s="16">
        <f>C79-E79-F79-G79-H79-I79-J79</f>
        <v>4859</v>
      </c>
      <c r="E79" s="9">
        <v>509</v>
      </c>
      <c r="F79" s="9">
        <v>437</v>
      </c>
      <c r="G79" s="9">
        <v>239</v>
      </c>
      <c r="H79" s="9">
        <v>29680</v>
      </c>
      <c r="I79" s="9">
        <v>28222</v>
      </c>
      <c r="J79" s="9">
        <v>22274</v>
      </c>
      <c r="K79" s="17">
        <f t="shared" si="114"/>
        <v>30189</v>
      </c>
      <c r="L79" s="17">
        <f t="shared" si="115"/>
        <v>28659</v>
      </c>
      <c r="M79" s="17">
        <f t="shared" si="116"/>
        <v>22513</v>
      </c>
      <c r="P79" s="15" t="s">
        <v>134</v>
      </c>
      <c r="Q79" s="9">
        <v>8</v>
      </c>
      <c r="R79" s="9">
        <v>99538</v>
      </c>
      <c r="S79" s="16">
        <f>R79-T79-U79-V79-W79-X79-Y79</f>
        <v>5868</v>
      </c>
      <c r="T79" s="9">
        <v>460</v>
      </c>
      <c r="U79" s="9">
        <v>415</v>
      </c>
      <c r="V79" s="9">
        <v>261</v>
      </c>
      <c r="W79" s="9">
        <v>25868</v>
      </c>
      <c r="X79" s="9">
        <v>41229</v>
      </c>
      <c r="Y79" s="9">
        <v>25437</v>
      </c>
      <c r="Z79" s="17">
        <f t="shared" si="117"/>
        <v>26328</v>
      </c>
      <c r="AA79" s="17">
        <f t="shared" si="118"/>
        <v>41644</v>
      </c>
      <c r="AB79" s="17">
        <f t="shared" si="119"/>
        <v>25698</v>
      </c>
    </row>
    <row r="80" spans="1:28" ht="17" thickBot="1" x14ac:dyDescent="0.25">
      <c r="A80" s="18" t="s">
        <v>75</v>
      </c>
      <c r="B80" s="19">
        <v>11</v>
      </c>
      <c r="C80" s="19">
        <v>75042</v>
      </c>
      <c r="D80" s="20">
        <f>C80-E80-F80-G80-H80-I80-J80</f>
        <v>4609</v>
      </c>
      <c r="E80" s="19">
        <v>411</v>
      </c>
      <c r="F80" s="19">
        <v>340</v>
      </c>
      <c r="G80" s="19">
        <v>230</v>
      </c>
      <c r="H80" s="19">
        <v>24896</v>
      </c>
      <c r="I80" s="19">
        <v>24669</v>
      </c>
      <c r="J80" s="19">
        <v>19887</v>
      </c>
      <c r="K80" s="21">
        <f t="shared" si="114"/>
        <v>25307</v>
      </c>
      <c r="L80" s="21">
        <f t="shared" si="115"/>
        <v>25009</v>
      </c>
      <c r="M80" s="21">
        <f t="shared" si="116"/>
        <v>20117</v>
      </c>
      <c r="P80" s="18" t="s">
        <v>134</v>
      </c>
      <c r="Q80" s="19">
        <v>12</v>
      </c>
      <c r="R80" s="19">
        <v>106300</v>
      </c>
      <c r="S80" s="20">
        <f>R80-T80-U80-V80-W80-X80-Y80</f>
        <v>6296</v>
      </c>
      <c r="T80" s="19">
        <v>484</v>
      </c>
      <c r="U80" s="19">
        <v>396</v>
      </c>
      <c r="V80" s="19">
        <v>318</v>
      </c>
      <c r="W80" s="19">
        <v>26863</v>
      </c>
      <c r="X80" s="19">
        <v>45894</v>
      </c>
      <c r="Y80" s="19">
        <v>26049</v>
      </c>
      <c r="Z80" s="21">
        <f t="shared" si="117"/>
        <v>27347</v>
      </c>
      <c r="AA80" s="21">
        <f t="shared" si="118"/>
        <v>46290</v>
      </c>
      <c r="AB80" s="21">
        <f t="shared" si="119"/>
        <v>26367</v>
      </c>
    </row>
    <row r="81" spans="1:28" ht="17" thickBot="1" x14ac:dyDescent="0.25">
      <c r="A81" s="9"/>
      <c r="B81" s="9" t="s">
        <v>57</v>
      </c>
      <c r="C81" s="9">
        <f t="shared" ref="C81" si="120">AVERAGE(C78:C80)</f>
        <v>79181.333333333328</v>
      </c>
      <c r="D81" s="9">
        <f t="shared" ref="D81" si="121">AVERAGE(D78:D80)</f>
        <v>4512</v>
      </c>
      <c r="E81" s="9">
        <f t="shared" ref="E81" si="122">AVERAGE(E78:E80)</f>
        <v>466.66666666666669</v>
      </c>
      <c r="F81" s="9">
        <f t="shared" ref="F81" si="123">AVERAGE(F78:F80)</f>
        <v>394.66666666666669</v>
      </c>
      <c r="G81" s="9">
        <f t="shared" ref="G81" si="124">AVERAGE(G78:G80)</f>
        <v>231.33333333333334</v>
      </c>
      <c r="H81" s="9">
        <f t="shared" ref="H81" si="125">AVERAGE(H78:H80)</f>
        <v>27675</v>
      </c>
      <c r="I81" s="9">
        <f t="shared" ref="I81" si="126">AVERAGE(I78:I80)</f>
        <v>26331</v>
      </c>
      <c r="J81" s="9">
        <f t="shared" ref="J81" si="127">AVERAGE(J78:J80)</f>
        <v>19570.666666666668</v>
      </c>
      <c r="K81" s="9">
        <f t="shared" ref="K81" si="128">AVERAGE(K78:K80)</f>
        <v>28141.666666666668</v>
      </c>
      <c r="L81" s="9">
        <f t="shared" ref="L81" si="129">AVERAGE(L78:L80)</f>
        <v>26725.666666666668</v>
      </c>
      <c r="M81" s="9">
        <f t="shared" ref="M81" si="130">AVERAGE(M78:M80)</f>
        <v>19802</v>
      </c>
      <c r="P81" s="9"/>
      <c r="Q81" s="9" t="s">
        <v>57</v>
      </c>
      <c r="R81" s="9">
        <f t="shared" ref="R81:AB81" si="131">AVERAGE(R78:R80)</f>
        <v>107487.66666666667</v>
      </c>
      <c r="S81" s="9">
        <f t="shared" si="131"/>
        <v>6402.333333333333</v>
      </c>
      <c r="T81" s="9">
        <f t="shared" si="131"/>
        <v>500.33333333333331</v>
      </c>
      <c r="U81" s="9">
        <f t="shared" si="131"/>
        <v>429</v>
      </c>
      <c r="V81" s="9">
        <f t="shared" si="131"/>
        <v>300.33333333333331</v>
      </c>
      <c r="W81" s="9">
        <f t="shared" si="131"/>
        <v>27459.333333333332</v>
      </c>
      <c r="X81" s="9">
        <f t="shared" si="131"/>
        <v>45452.333333333336</v>
      </c>
      <c r="Y81" s="9">
        <f t="shared" si="131"/>
        <v>26944</v>
      </c>
      <c r="Z81" s="9">
        <f t="shared" si="131"/>
        <v>27959.666666666668</v>
      </c>
      <c r="AA81" s="9">
        <f t="shared" si="131"/>
        <v>45881.333333333336</v>
      </c>
      <c r="AB81" s="9">
        <f t="shared" si="131"/>
        <v>27244.333333333332</v>
      </c>
    </row>
    <row r="82" spans="1:28" x14ac:dyDescent="0.2">
      <c r="A82" s="11" t="s">
        <v>76</v>
      </c>
      <c r="B82" s="12">
        <v>13</v>
      </c>
      <c r="C82" s="12">
        <v>141300</v>
      </c>
      <c r="D82" s="13">
        <f>C82-E82-F82-G82-H82-I82-J82</f>
        <v>5924</v>
      </c>
      <c r="E82" s="12">
        <v>775</v>
      </c>
      <c r="F82" s="12">
        <v>884</v>
      </c>
      <c r="G82" s="12">
        <v>621</v>
      </c>
      <c r="H82" s="12">
        <v>43754</v>
      </c>
      <c r="I82" s="12">
        <v>46458</v>
      </c>
      <c r="J82" s="12">
        <v>42884</v>
      </c>
      <c r="K82" s="14">
        <f t="shared" ref="K82:K84" si="132">SUM(E82,H82)</f>
        <v>44529</v>
      </c>
      <c r="L82" s="14">
        <f t="shared" ref="L82:L84" si="133">SUM(F82,I82)</f>
        <v>47342</v>
      </c>
      <c r="M82" s="14">
        <f t="shared" ref="M82:M84" si="134">SUM(G82,J82)</f>
        <v>43505</v>
      </c>
      <c r="P82" s="11" t="s">
        <v>136</v>
      </c>
      <c r="Q82" s="12">
        <v>10</v>
      </c>
      <c r="R82" s="12">
        <v>78730</v>
      </c>
      <c r="S82" s="13">
        <f>R82-T82-U82-V82-W82-X82-Y82</f>
        <v>7862</v>
      </c>
      <c r="T82" s="12">
        <v>39</v>
      </c>
      <c r="U82" s="12">
        <v>164</v>
      </c>
      <c r="V82" s="12">
        <v>33</v>
      </c>
      <c r="W82" s="12">
        <v>20183</v>
      </c>
      <c r="X82" s="12">
        <v>29724</v>
      </c>
      <c r="Y82" s="12">
        <v>20725</v>
      </c>
      <c r="Z82" s="14">
        <f t="shared" ref="Z82:Z84" si="135">SUM(T82,W82)</f>
        <v>20222</v>
      </c>
      <c r="AA82" s="14">
        <f t="shared" ref="AA82:AA84" si="136">SUM(U82,X82)</f>
        <v>29888</v>
      </c>
      <c r="AB82" s="14">
        <f t="shared" ref="AB82:AB84" si="137">SUM(V82,Y82)</f>
        <v>20758</v>
      </c>
    </row>
    <row r="83" spans="1:28" x14ac:dyDescent="0.2">
      <c r="A83" s="15" t="s">
        <v>76</v>
      </c>
      <c r="B83" s="9">
        <v>16</v>
      </c>
      <c r="C83" s="9">
        <v>109768</v>
      </c>
      <c r="D83" s="16">
        <f>C83-E83-F83-G83-H83-I83-J83</f>
        <v>5621</v>
      </c>
      <c r="E83" s="9">
        <v>456</v>
      </c>
      <c r="F83" s="9">
        <v>593</v>
      </c>
      <c r="G83" s="9">
        <v>419</v>
      </c>
      <c r="H83" s="9">
        <v>33274</v>
      </c>
      <c r="I83" s="9">
        <v>36647</v>
      </c>
      <c r="J83" s="9">
        <v>32758</v>
      </c>
      <c r="K83" s="17">
        <f t="shared" si="132"/>
        <v>33730</v>
      </c>
      <c r="L83" s="17">
        <f t="shared" si="133"/>
        <v>37240</v>
      </c>
      <c r="M83" s="17">
        <f t="shared" si="134"/>
        <v>33177</v>
      </c>
      <c r="P83" s="15" t="s">
        <v>136</v>
      </c>
      <c r="Q83" s="9">
        <v>12</v>
      </c>
      <c r="R83" s="9">
        <v>50486</v>
      </c>
      <c r="S83" s="16">
        <f>R83-T83-U83-V83-W83-X83-Y83</f>
        <v>5878</v>
      </c>
      <c r="T83" s="9">
        <v>14</v>
      </c>
      <c r="U83" s="9">
        <v>84</v>
      </c>
      <c r="V83" s="9">
        <v>14</v>
      </c>
      <c r="W83" s="9">
        <v>12966</v>
      </c>
      <c r="X83" s="9">
        <v>19346</v>
      </c>
      <c r="Y83" s="9">
        <v>12184</v>
      </c>
      <c r="Z83" s="17">
        <f t="shared" si="135"/>
        <v>12980</v>
      </c>
      <c r="AA83" s="17">
        <f t="shared" si="136"/>
        <v>19430</v>
      </c>
      <c r="AB83" s="17">
        <f t="shared" si="137"/>
        <v>12198</v>
      </c>
    </row>
    <row r="84" spans="1:28" ht="17" thickBot="1" x14ac:dyDescent="0.25">
      <c r="A84" s="18" t="s">
        <v>76</v>
      </c>
      <c r="B84" s="19">
        <v>11</v>
      </c>
      <c r="C84" s="19">
        <v>117670</v>
      </c>
      <c r="D84" s="20">
        <f>C84-E84-F84-G84-H84-I84-J84</f>
        <v>4881</v>
      </c>
      <c r="E84" s="19">
        <v>637</v>
      </c>
      <c r="F84" s="19">
        <v>721</v>
      </c>
      <c r="G84" s="19">
        <v>547</v>
      </c>
      <c r="H84" s="19">
        <v>36454</v>
      </c>
      <c r="I84" s="19">
        <v>38409</v>
      </c>
      <c r="J84" s="19">
        <v>36021</v>
      </c>
      <c r="K84" s="21">
        <f t="shared" si="132"/>
        <v>37091</v>
      </c>
      <c r="L84" s="21">
        <f t="shared" si="133"/>
        <v>39130</v>
      </c>
      <c r="M84" s="21">
        <f t="shared" si="134"/>
        <v>36568</v>
      </c>
      <c r="P84" s="18" t="s">
        <v>136</v>
      </c>
      <c r="Q84" s="19">
        <v>5</v>
      </c>
      <c r="R84" s="19">
        <v>104972</v>
      </c>
      <c r="S84" s="20">
        <f>R84-T84-U84-V84-W84-X84-Y84</f>
        <v>5888</v>
      </c>
      <c r="T84" s="19">
        <v>51</v>
      </c>
      <c r="U84" s="19">
        <v>232</v>
      </c>
      <c r="V84" s="19">
        <v>81</v>
      </c>
      <c r="W84" s="19">
        <v>26459</v>
      </c>
      <c r="X84" s="19">
        <v>39526</v>
      </c>
      <c r="Y84" s="19">
        <v>32735</v>
      </c>
      <c r="Z84" s="21">
        <f t="shared" si="135"/>
        <v>26510</v>
      </c>
      <c r="AA84" s="21">
        <f t="shared" si="136"/>
        <v>39758</v>
      </c>
      <c r="AB84" s="21">
        <f t="shared" si="137"/>
        <v>32816</v>
      </c>
    </row>
    <row r="85" spans="1:28" ht="17" thickBot="1" x14ac:dyDescent="0.25">
      <c r="A85" s="9"/>
      <c r="B85" s="9" t="s">
        <v>57</v>
      </c>
      <c r="C85" s="9">
        <f t="shared" ref="C85" si="138">AVERAGE(C82:C84)</f>
        <v>122912.66666666667</v>
      </c>
      <c r="D85" s="9">
        <f t="shared" ref="D85" si="139">AVERAGE(D82:D84)</f>
        <v>5475.333333333333</v>
      </c>
      <c r="E85" s="9">
        <f t="shared" ref="E85" si="140">AVERAGE(E82:E84)</f>
        <v>622.66666666666663</v>
      </c>
      <c r="F85" s="9">
        <f t="shared" ref="F85" si="141">AVERAGE(F82:F84)</f>
        <v>732.66666666666663</v>
      </c>
      <c r="G85" s="9">
        <f t="shared" ref="G85" si="142">AVERAGE(G82:G84)</f>
        <v>529</v>
      </c>
      <c r="H85" s="9">
        <f t="shared" ref="H85" si="143">AVERAGE(H82:H84)</f>
        <v>37827.333333333336</v>
      </c>
      <c r="I85" s="9">
        <f t="shared" ref="I85" si="144">AVERAGE(I82:I84)</f>
        <v>40504.666666666664</v>
      </c>
      <c r="J85" s="9">
        <f t="shared" ref="J85" si="145">AVERAGE(J82:J84)</f>
        <v>37221</v>
      </c>
      <c r="K85" s="9">
        <f t="shared" ref="K85" si="146">AVERAGE(K82:K84)</f>
        <v>38450</v>
      </c>
      <c r="L85" s="9">
        <f t="shared" ref="L85" si="147">AVERAGE(L82:L84)</f>
        <v>41237.333333333336</v>
      </c>
      <c r="M85" s="9">
        <f t="shared" ref="M85" si="148">AVERAGE(M82:M84)</f>
        <v>37750</v>
      </c>
      <c r="P85" s="9"/>
      <c r="Q85" s="9" t="s">
        <v>57</v>
      </c>
      <c r="R85" s="9">
        <f t="shared" ref="R85:AB85" si="149">AVERAGE(R82:R84)</f>
        <v>78062.666666666672</v>
      </c>
      <c r="S85" s="9">
        <f t="shared" si="149"/>
        <v>6542.666666666667</v>
      </c>
      <c r="T85" s="9">
        <f t="shared" si="149"/>
        <v>34.666666666666664</v>
      </c>
      <c r="U85" s="9">
        <f t="shared" si="149"/>
        <v>160</v>
      </c>
      <c r="V85" s="9">
        <f t="shared" si="149"/>
        <v>42.666666666666664</v>
      </c>
      <c r="W85" s="9">
        <f t="shared" si="149"/>
        <v>19869.333333333332</v>
      </c>
      <c r="X85" s="9">
        <f t="shared" si="149"/>
        <v>29532</v>
      </c>
      <c r="Y85" s="9">
        <f t="shared" si="149"/>
        <v>21881.333333333332</v>
      </c>
      <c r="Z85" s="9">
        <f t="shared" si="149"/>
        <v>19904</v>
      </c>
      <c r="AA85" s="9">
        <f t="shared" si="149"/>
        <v>29692</v>
      </c>
      <c r="AB85" s="9">
        <f t="shared" si="149"/>
        <v>21924</v>
      </c>
    </row>
    <row r="86" spans="1:28" x14ac:dyDescent="0.2">
      <c r="A86" s="11" t="s">
        <v>77</v>
      </c>
      <c r="B86" s="12">
        <v>10</v>
      </c>
      <c r="C86" s="12">
        <v>86781</v>
      </c>
      <c r="D86" s="13">
        <f>C86-E86-F86-G86-H86-I86-J86</f>
        <v>5892</v>
      </c>
      <c r="E86" s="12">
        <v>500</v>
      </c>
      <c r="F86" s="12">
        <v>566</v>
      </c>
      <c r="G86" s="12">
        <v>323</v>
      </c>
      <c r="H86" s="12">
        <v>38858</v>
      </c>
      <c r="I86" s="12">
        <v>23535</v>
      </c>
      <c r="J86" s="12">
        <v>17107</v>
      </c>
      <c r="K86" s="14">
        <f t="shared" ref="K86:K88" si="150">SUM(E86,H86)</f>
        <v>39358</v>
      </c>
      <c r="L86" s="14">
        <f t="shared" ref="L86:L88" si="151">SUM(F86,I86)</f>
        <v>24101</v>
      </c>
      <c r="M86" s="14">
        <f t="shared" ref="M86:M88" si="152">SUM(G86,J86)</f>
        <v>17430</v>
      </c>
    </row>
    <row r="87" spans="1:28" x14ac:dyDescent="0.2">
      <c r="A87" s="15" t="s">
        <v>77</v>
      </c>
      <c r="B87" s="9">
        <v>15</v>
      </c>
      <c r="C87" s="9">
        <v>98646</v>
      </c>
      <c r="D87" s="16">
        <f>C87-E87-F87-G87-H87-I87-J87</f>
        <v>4926</v>
      </c>
      <c r="E87" s="9">
        <v>567</v>
      </c>
      <c r="F87" s="9">
        <v>692</v>
      </c>
      <c r="G87" s="9">
        <v>418</v>
      </c>
      <c r="H87" s="9">
        <v>41593</v>
      </c>
      <c r="I87" s="9">
        <v>28435</v>
      </c>
      <c r="J87" s="9">
        <v>22015</v>
      </c>
      <c r="K87" s="17">
        <f t="shared" si="150"/>
        <v>42160</v>
      </c>
      <c r="L87" s="17">
        <f t="shared" si="151"/>
        <v>29127</v>
      </c>
      <c r="M87" s="17">
        <f t="shared" si="152"/>
        <v>22433</v>
      </c>
    </row>
    <row r="88" spans="1:28" ht="17" thickBot="1" x14ac:dyDescent="0.25">
      <c r="A88" s="18" t="s">
        <v>77</v>
      </c>
      <c r="B88" s="19">
        <v>12</v>
      </c>
      <c r="C88" s="19">
        <v>89276</v>
      </c>
      <c r="D88" s="20">
        <f>C88-E88-F88-G88-H88-I88-J88</f>
        <v>5136</v>
      </c>
      <c r="E88" s="19">
        <v>498</v>
      </c>
      <c r="F88" s="19">
        <v>583</v>
      </c>
      <c r="G88" s="19">
        <v>349</v>
      </c>
      <c r="H88" s="19">
        <v>39164</v>
      </c>
      <c r="I88" s="19">
        <v>24632</v>
      </c>
      <c r="J88" s="19">
        <v>18914</v>
      </c>
      <c r="K88" s="21">
        <f t="shared" si="150"/>
        <v>39662</v>
      </c>
      <c r="L88" s="21">
        <f t="shared" si="151"/>
        <v>25215</v>
      </c>
      <c r="M88" s="21">
        <f t="shared" si="152"/>
        <v>19263</v>
      </c>
    </row>
    <row r="89" spans="1:28" ht="17" thickBot="1" x14ac:dyDescent="0.25">
      <c r="A89" s="9"/>
      <c r="B89" s="9" t="s">
        <v>57</v>
      </c>
      <c r="C89" s="9">
        <f t="shared" ref="C89" si="153">AVERAGE(C86:C88)</f>
        <v>91567.666666666672</v>
      </c>
      <c r="D89" s="9">
        <f t="shared" ref="D89" si="154">AVERAGE(D86:D88)</f>
        <v>5318</v>
      </c>
      <c r="E89" s="9">
        <f t="shared" ref="E89" si="155">AVERAGE(E86:E88)</f>
        <v>521.66666666666663</v>
      </c>
      <c r="F89" s="9">
        <f t="shared" ref="F89" si="156">AVERAGE(F86:F88)</f>
        <v>613.66666666666663</v>
      </c>
      <c r="G89" s="9">
        <f t="shared" ref="G89" si="157">AVERAGE(G86:G88)</f>
        <v>363.33333333333331</v>
      </c>
      <c r="H89" s="9">
        <f t="shared" ref="H89" si="158">AVERAGE(H86:H88)</f>
        <v>39871.666666666664</v>
      </c>
      <c r="I89" s="9">
        <f t="shared" ref="I89" si="159">AVERAGE(I86:I88)</f>
        <v>25534</v>
      </c>
      <c r="J89" s="9">
        <f t="shared" ref="J89" si="160">AVERAGE(J86:J88)</f>
        <v>19345.333333333332</v>
      </c>
      <c r="K89" s="9">
        <f t="shared" ref="K89" si="161">AVERAGE(K86:K88)</f>
        <v>40393.333333333336</v>
      </c>
      <c r="L89" s="9">
        <f t="shared" ref="L89" si="162">AVERAGE(L86:L88)</f>
        <v>26147.666666666668</v>
      </c>
      <c r="M89" s="9">
        <f t="shared" ref="M89" si="163">AVERAGE(M86:M88)</f>
        <v>19708.666666666668</v>
      </c>
    </row>
    <row r="90" spans="1:28" x14ac:dyDescent="0.2">
      <c r="A90" s="11" t="s">
        <v>78</v>
      </c>
      <c r="B90" s="12">
        <v>14</v>
      </c>
      <c r="C90" s="12">
        <v>208805</v>
      </c>
      <c r="D90" s="13">
        <f>C90-E90-F90-G90-H90-I90-J90</f>
        <v>6303</v>
      </c>
      <c r="E90" s="12">
        <v>671</v>
      </c>
      <c r="F90" s="12">
        <v>668</v>
      </c>
      <c r="G90" s="12">
        <v>705</v>
      </c>
      <c r="H90" s="12">
        <v>80004</v>
      </c>
      <c r="I90" s="12">
        <v>66330</v>
      </c>
      <c r="J90" s="12">
        <v>54124</v>
      </c>
      <c r="K90" s="14">
        <f t="shared" ref="K90:K92" si="164">SUM(E90,H90)</f>
        <v>80675</v>
      </c>
      <c r="L90" s="14">
        <f t="shared" ref="L90:L92" si="165">SUM(F90,I90)</f>
        <v>66998</v>
      </c>
      <c r="M90" s="14">
        <f t="shared" ref="M90:M92" si="166">SUM(G90,J90)</f>
        <v>54829</v>
      </c>
    </row>
    <row r="91" spans="1:28" x14ac:dyDescent="0.2">
      <c r="A91" s="15" t="s">
        <v>78</v>
      </c>
      <c r="B91" s="9">
        <v>20</v>
      </c>
      <c r="C91" s="9">
        <v>149733</v>
      </c>
      <c r="D91" s="16">
        <f>C91-E91-F91-G91-H91-I91-J91</f>
        <v>4948</v>
      </c>
      <c r="E91" s="9">
        <v>482</v>
      </c>
      <c r="F91" s="9">
        <v>489</v>
      </c>
      <c r="G91" s="9">
        <v>545</v>
      </c>
      <c r="H91" s="9">
        <v>56897</v>
      </c>
      <c r="I91" s="9">
        <v>47380</v>
      </c>
      <c r="J91" s="9">
        <v>38992</v>
      </c>
      <c r="K91" s="17">
        <f t="shared" si="164"/>
        <v>57379</v>
      </c>
      <c r="L91" s="17">
        <f t="shared" si="165"/>
        <v>47869</v>
      </c>
      <c r="M91" s="17">
        <f t="shared" si="166"/>
        <v>39537</v>
      </c>
    </row>
    <row r="92" spans="1:28" ht="17" thickBot="1" x14ac:dyDescent="0.25">
      <c r="A92" s="18" t="s">
        <v>78</v>
      </c>
      <c r="B92" s="19">
        <v>17</v>
      </c>
      <c r="C92" s="19">
        <v>179444</v>
      </c>
      <c r="D92" s="20">
        <f>C92-E92-F92-G92-H92-I92-J92</f>
        <v>6092</v>
      </c>
      <c r="E92" s="19">
        <v>587</v>
      </c>
      <c r="F92" s="19">
        <v>582</v>
      </c>
      <c r="G92" s="19">
        <v>603</v>
      </c>
      <c r="H92" s="19">
        <v>69032</v>
      </c>
      <c r="I92" s="19">
        <v>57137</v>
      </c>
      <c r="J92" s="19">
        <v>45411</v>
      </c>
      <c r="K92" s="21">
        <f t="shared" si="164"/>
        <v>69619</v>
      </c>
      <c r="L92" s="21">
        <f t="shared" si="165"/>
        <v>57719</v>
      </c>
      <c r="M92" s="21">
        <f t="shared" si="166"/>
        <v>46014</v>
      </c>
    </row>
    <row r="93" spans="1:28" ht="17" thickBot="1" x14ac:dyDescent="0.25">
      <c r="A93" s="9"/>
      <c r="B93" s="9" t="s">
        <v>57</v>
      </c>
      <c r="C93" s="9">
        <f t="shared" ref="C93" si="167">AVERAGE(C90:C92)</f>
        <v>179327.33333333334</v>
      </c>
      <c r="D93" s="9">
        <f t="shared" ref="D93" si="168">AVERAGE(D90:D92)</f>
        <v>5781</v>
      </c>
      <c r="E93" s="9">
        <f t="shared" ref="E93" si="169">AVERAGE(E90:E92)</f>
        <v>580</v>
      </c>
      <c r="F93" s="9">
        <f t="shared" ref="F93" si="170">AVERAGE(F90:F92)</f>
        <v>579.66666666666663</v>
      </c>
      <c r="G93" s="9">
        <f t="shared" ref="G93" si="171">AVERAGE(G90:G92)</f>
        <v>617.66666666666663</v>
      </c>
      <c r="H93" s="9">
        <f t="shared" ref="H93" si="172">AVERAGE(H90:H92)</f>
        <v>68644.333333333328</v>
      </c>
      <c r="I93" s="9">
        <f t="shared" ref="I93" si="173">AVERAGE(I90:I92)</f>
        <v>56949</v>
      </c>
      <c r="J93" s="9">
        <f t="shared" ref="J93" si="174">AVERAGE(J90:J92)</f>
        <v>46175.666666666664</v>
      </c>
      <c r="K93" s="9">
        <f t="shared" ref="K93" si="175">AVERAGE(K90:K92)</f>
        <v>69224.333333333328</v>
      </c>
      <c r="L93" s="9">
        <f t="shared" ref="L93" si="176">AVERAGE(L90:L92)</f>
        <v>57528.666666666664</v>
      </c>
      <c r="M93" s="9">
        <f t="shared" ref="M93" si="177">AVERAGE(M90:M92)</f>
        <v>46793.333333333336</v>
      </c>
    </row>
    <row r="94" spans="1:28" x14ac:dyDescent="0.2">
      <c r="A94" s="11" t="s">
        <v>79</v>
      </c>
      <c r="B94" s="12">
        <v>14</v>
      </c>
      <c r="C94" s="12">
        <v>252243</v>
      </c>
      <c r="D94" s="13">
        <f>C94-E94-F94-G94-H94-I94-J94</f>
        <v>8399</v>
      </c>
      <c r="E94" s="12">
        <v>1821</v>
      </c>
      <c r="F94" s="12">
        <v>2270</v>
      </c>
      <c r="G94" s="12">
        <v>1473</v>
      </c>
      <c r="H94" s="12">
        <v>93864</v>
      </c>
      <c r="I94" s="12">
        <v>78907</v>
      </c>
      <c r="J94" s="12">
        <v>65509</v>
      </c>
      <c r="K94" s="14">
        <f t="shared" ref="K94:K96" si="178">SUM(E94,H94)</f>
        <v>95685</v>
      </c>
      <c r="L94" s="14">
        <f t="shared" ref="L94:L96" si="179">SUM(F94,I94)</f>
        <v>81177</v>
      </c>
      <c r="M94" s="14">
        <f t="shared" ref="M94:M96" si="180">SUM(G94,J94)</f>
        <v>66982</v>
      </c>
    </row>
    <row r="95" spans="1:28" x14ac:dyDescent="0.2">
      <c r="A95" s="15" t="s">
        <v>79</v>
      </c>
      <c r="B95" s="9">
        <v>16</v>
      </c>
      <c r="C95" s="9">
        <v>238845</v>
      </c>
      <c r="D95" s="16">
        <f>C95-E95-F95-G95-H95-I95-J95</f>
        <v>8368</v>
      </c>
      <c r="E95" s="9">
        <v>1583</v>
      </c>
      <c r="F95" s="9">
        <v>2111</v>
      </c>
      <c r="G95" s="9">
        <v>1372</v>
      </c>
      <c r="H95" s="9">
        <v>89140</v>
      </c>
      <c r="I95" s="9">
        <v>73897</v>
      </c>
      <c r="J95" s="9">
        <v>62374</v>
      </c>
      <c r="K95" s="17">
        <f t="shared" si="178"/>
        <v>90723</v>
      </c>
      <c r="L95" s="17">
        <f t="shared" si="179"/>
        <v>76008</v>
      </c>
      <c r="M95" s="17">
        <f t="shared" si="180"/>
        <v>63746</v>
      </c>
    </row>
    <row r="96" spans="1:28" ht="17" thickBot="1" x14ac:dyDescent="0.25">
      <c r="A96" s="18" t="s">
        <v>79</v>
      </c>
      <c r="B96" s="19">
        <v>12</v>
      </c>
      <c r="C96" s="19">
        <v>237471</v>
      </c>
      <c r="D96" s="20">
        <f>C96-E96-F96-G96-H96-I96-J96</f>
        <v>7860</v>
      </c>
      <c r="E96" s="19">
        <v>1771</v>
      </c>
      <c r="F96" s="19">
        <v>2200</v>
      </c>
      <c r="G96" s="19">
        <v>1448</v>
      </c>
      <c r="H96" s="19">
        <v>87500</v>
      </c>
      <c r="I96" s="19">
        <v>74602</v>
      </c>
      <c r="J96" s="19">
        <v>62090</v>
      </c>
      <c r="K96" s="21">
        <f t="shared" si="178"/>
        <v>89271</v>
      </c>
      <c r="L96" s="21">
        <f t="shared" si="179"/>
        <v>76802</v>
      </c>
      <c r="M96" s="21">
        <f t="shared" si="180"/>
        <v>63538</v>
      </c>
    </row>
    <row r="97" spans="1:13" ht="17" thickBot="1" x14ac:dyDescent="0.25">
      <c r="A97" s="9"/>
      <c r="B97" s="9" t="s">
        <v>57</v>
      </c>
      <c r="C97" s="9">
        <f t="shared" ref="C97" si="181">AVERAGE(C94:C96)</f>
        <v>242853</v>
      </c>
      <c r="D97" s="9">
        <f t="shared" ref="D97" si="182">AVERAGE(D94:D96)</f>
        <v>8209</v>
      </c>
      <c r="E97" s="9">
        <f t="shared" ref="E97" si="183">AVERAGE(E94:E96)</f>
        <v>1725</v>
      </c>
      <c r="F97" s="9">
        <f t="shared" ref="F97" si="184">AVERAGE(F94:F96)</f>
        <v>2193.6666666666665</v>
      </c>
      <c r="G97" s="9">
        <f t="shared" ref="G97" si="185">AVERAGE(G94:G96)</f>
        <v>1431</v>
      </c>
      <c r="H97" s="9">
        <f t="shared" ref="H97" si="186">AVERAGE(H94:H96)</f>
        <v>90168</v>
      </c>
      <c r="I97" s="9">
        <f t="shared" ref="I97" si="187">AVERAGE(I94:I96)</f>
        <v>75802</v>
      </c>
      <c r="J97" s="9">
        <f t="shared" ref="J97" si="188">AVERAGE(J94:J96)</f>
        <v>63324.333333333336</v>
      </c>
      <c r="K97" s="9">
        <f t="shared" ref="K97" si="189">AVERAGE(K94:K96)</f>
        <v>91893</v>
      </c>
      <c r="L97" s="9">
        <f t="shared" ref="L97" si="190">AVERAGE(L94:L96)</f>
        <v>77995.666666666672</v>
      </c>
      <c r="M97" s="9">
        <f t="shared" ref="M97" si="191">AVERAGE(M94:M96)</f>
        <v>64755.333333333336</v>
      </c>
    </row>
    <row r="98" spans="1:13" x14ac:dyDescent="0.2">
      <c r="A98" s="11" t="s">
        <v>80</v>
      </c>
      <c r="B98" s="12">
        <v>15</v>
      </c>
      <c r="C98" s="12">
        <v>192177</v>
      </c>
      <c r="D98" s="13">
        <f>C98-E98-F98-G98-H98-I98-J98</f>
        <v>5993</v>
      </c>
      <c r="E98" s="12">
        <v>915</v>
      </c>
      <c r="F98" s="12">
        <v>1072</v>
      </c>
      <c r="G98" s="12">
        <v>753</v>
      </c>
      <c r="H98" s="12">
        <v>77294</v>
      </c>
      <c r="I98" s="12">
        <v>56972</v>
      </c>
      <c r="J98" s="12">
        <v>49178</v>
      </c>
      <c r="K98" s="14">
        <f t="shared" ref="K98:K100" si="192">SUM(E98,H98)</f>
        <v>78209</v>
      </c>
      <c r="L98" s="14">
        <f t="shared" ref="L98:L100" si="193">SUM(F98,I98)</f>
        <v>58044</v>
      </c>
      <c r="M98" s="14">
        <f t="shared" ref="M98:M100" si="194">SUM(G98,J98)</f>
        <v>49931</v>
      </c>
    </row>
    <row r="99" spans="1:13" x14ac:dyDescent="0.2">
      <c r="A99" s="15" t="s">
        <v>80</v>
      </c>
      <c r="B99" s="9">
        <v>9</v>
      </c>
      <c r="C99" s="9">
        <v>174205</v>
      </c>
      <c r="D99" s="16">
        <f>C99-E99-F99-G99-H99-I99-J99</f>
        <v>5110</v>
      </c>
      <c r="E99" s="9">
        <v>928</v>
      </c>
      <c r="F99" s="9">
        <v>1095</v>
      </c>
      <c r="G99" s="9">
        <v>706</v>
      </c>
      <c r="H99" s="9">
        <v>67252</v>
      </c>
      <c r="I99" s="9">
        <v>53104</v>
      </c>
      <c r="J99" s="9">
        <v>46010</v>
      </c>
      <c r="K99" s="17">
        <f t="shared" si="192"/>
        <v>68180</v>
      </c>
      <c r="L99" s="17">
        <f t="shared" si="193"/>
        <v>54199</v>
      </c>
      <c r="M99" s="17">
        <f t="shared" si="194"/>
        <v>46716</v>
      </c>
    </row>
    <row r="100" spans="1:13" ht="17" thickBot="1" x14ac:dyDescent="0.25">
      <c r="A100" s="18" t="s">
        <v>80</v>
      </c>
      <c r="B100" s="19">
        <v>18</v>
      </c>
      <c r="C100" s="19">
        <v>162156</v>
      </c>
      <c r="D100" s="20">
        <f>C100-E100-F100-G100-H100-I100-J100</f>
        <v>5296</v>
      </c>
      <c r="E100" s="19">
        <v>806</v>
      </c>
      <c r="F100" s="19">
        <v>920</v>
      </c>
      <c r="G100" s="19">
        <v>617</v>
      </c>
      <c r="H100" s="19">
        <v>65197</v>
      </c>
      <c r="I100" s="19">
        <v>47796</v>
      </c>
      <c r="J100" s="19">
        <v>41524</v>
      </c>
      <c r="K100" s="21">
        <f t="shared" si="192"/>
        <v>66003</v>
      </c>
      <c r="L100" s="21">
        <f t="shared" si="193"/>
        <v>48716</v>
      </c>
      <c r="M100" s="21">
        <f t="shared" si="194"/>
        <v>42141</v>
      </c>
    </row>
    <row r="101" spans="1:13" ht="17" thickBot="1" x14ac:dyDescent="0.25">
      <c r="A101" s="9"/>
      <c r="B101" s="9" t="s">
        <v>57</v>
      </c>
      <c r="C101" s="9">
        <f t="shared" ref="C101" si="195">AVERAGE(C98:C100)</f>
        <v>176179.33333333334</v>
      </c>
      <c r="D101" s="9">
        <f t="shared" ref="D101" si="196">AVERAGE(D98:D100)</f>
        <v>5466.333333333333</v>
      </c>
      <c r="E101" s="9">
        <f t="shared" ref="E101" si="197">AVERAGE(E98:E100)</f>
        <v>883</v>
      </c>
      <c r="F101" s="9">
        <f t="shared" ref="F101" si="198">AVERAGE(F98:F100)</f>
        <v>1029</v>
      </c>
      <c r="G101" s="9">
        <f t="shared" ref="G101" si="199">AVERAGE(G98:G100)</f>
        <v>692</v>
      </c>
      <c r="H101" s="9">
        <f t="shared" ref="H101" si="200">AVERAGE(H98:H100)</f>
        <v>69914.333333333328</v>
      </c>
      <c r="I101" s="9">
        <f t="shared" ref="I101" si="201">AVERAGE(I98:I100)</f>
        <v>52624</v>
      </c>
      <c r="J101" s="9">
        <f t="shared" ref="J101" si="202">AVERAGE(J98:J100)</f>
        <v>45570.666666666664</v>
      </c>
      <c r="K101" s="9">
        <f t="shared" ref="K101" si="203">AVERAGE(K98:K100)</f>
        <v>70797.333333333328</v>
      </c>
      <c r="L101" s="9">
        <f t="shared" ref="L101" si="204">AVERAGE(L98:L100)</f>
        <v>53653</v>
      </c>
      <c r="M101" s="9">
        <f t="shared" ref="M101" si="205">AVERAGE(M98:M100)</f>
        <v>46262.666666666664</v>
      </c>
    </row>
    <row r="102" spans="1:13" x14ac:dyDescent="0.2">
      <c r="A102" s="11" t="s">
        <v>81</v>
      </c>
      <c r="B102" s="12">
        <v>9</v>
      </c>
      <c r="C102" s="12">
        <v>110615</v>
      </c>
      <c r="D102" s="13">
        <f>C102-E102-F102-G102-H102-I102-J102</f>
        <v>4555</v>
      </c>
      <c r="E102" s="12">
        <v>672</v>
      </c>
      <c r="F102" s="12">
        <v>565</v>
      </c>
      <c r="G102" s="12">
        <v>673</v>
      </c>
      <c r="H102" s="12">
        <v>41438</v>
      </c>
      <c r="I102" s="12">
        <v>26688</v>
      </c>
      <c r="J102" s="12">
        <v>36024</v>
      </c>
      <c r="K102" s="14">
        <f t="shared" ref="K102:K104" si="206">SUM(E102,H102)</f>
        <v>42110</v>
      </c>
      <c r="L102" s="14">
        <f t="shared" ref="L102:L104" si="207">SUM(F102,I102)</f>
        <v>27253</v>
      </c>
      <c r="M102" s="14">
        <f t="shared" ref="M102:M104" si="208">SUM(G102,J102)</f>
        <v>36697</v>
      </c>
    </row>
    <row r="103" spans="1:13" x14ac:dyDescent="0.2">
      <c r="A103" s="15" t="s">
        <v>81</v>
      </c>
      <c r="B103" s="9">
        <v>12</v>
      </c>
      <c r="C103" s="9">
        <v>131981</v>
      </c>
      <c r="D103" s="16">
        <f>C103-E103-F103-G103-H103-I103-J103</f>
        <v>5755</v>
      </c>
      <c r="E103" s="9">
        <v>804</v>
      </c>
      <c r="F103" s="9">
        <v>739</v>
      </c>
      <c r="G103" s="9">
        <v>793</v>
      </c>
      <c r="H103" s="9">
        <v>49780</v>
      </c>
      <c r="I103" s="9">
        <v>31698</v>
      </c>
      <c r="J103" s="9">
        <v>42412</v>
      </c>
      <c r="K103" s="17">
        <f t="shared" si="206"/>
        <v>50584</v>
      </c>
      <c r="L103" s="17">
        <f t="shared" si="207"/>
        <v>32437</v>
      </c>
      <c r="M103" s="17">
        <f t="shared" si="208"/>
        <v>43205</v>
      </c>
    </row>
    <row r="104" spans="1:13" ht="17" thickBot="1" x14ac:dyDescent="0.25">
      <c r="A104" s="18" t="s">
        <v>81</v>
      </c>
      <c r="B104" s="19">
        <v>15</v>
      </c>
      <c r="C104" s="19">
        <v>82037</v>
      </c>
      <c r="D104" s="20">
        <f>C104-E104-F104-G104-H104-I104-J104</f>
        <v>4616</v>
      </c>
      <c r="E104" s="19">
        <v>453</v>
      </c>
      <c r="F104" s="19">
        <v>545</v>
      </c>
      <c r="G104" s="19">
        <v>486</v>
      </c>
      <c r="H104" s="19">
        <v>28161</v>
      </c>
      <c r="I104" s="19">
        <v>21100</v>
      </c>
      <c r="J104" s="19">
        <v>26676</v>
      </c>
      <c r="K104" s="21">
        <f t="shared" si="206"/>
        <v>28614</v>
      </c>
      <c r="L104" s="21">
        <f t="shared" si="207"/>
        <v>21645</v>
      </c>
      <c r="M104" s="21">
        <f t="shared" si="208"/>
        <v>27162</v>
      </c>
    </row>
    <row r="105" spans="1:13" ht="17" thickBot="1" x14ac:dyDescent="0.25">
      <c r="A105" s="9"/>
      <c r="B105" s="9" t="s">
        <v>57</v>
      </c>
      <c r="C105" s="9">
        <f t="shared" ref="C105" si="209">AVERAGE(C102:C104)</f>
        <v>108211</v>
      </c>
      <c r="D105" s="9">
        <f t="shared" ref="D105" si="210">AVERAGE(D102:D104)</f>
        <v>4975.333333333333</v>
      </c>
      <c r="E105" s="9">
        <f t="shared" ref="E105" si="211">AVERAGE(E102:E104)</f>
        <v>643</v>
      </c>
      <c r="F105" s="9">
        <f t="shared" ref="F105" si="212">AVERAGE(F102:F104)</f>
        <v>616.33333333333337</v>
      </c>
      <c r="G105" s="9">
        <f t="shared" ref="G105" si="213">AVERAGE(G102:G104)</f>
        <v>650.66666666666663</v>
      </c>
      <c r="H105" s="9">
        <f t="shared" ref="H105" si="214">AVERAGE(H102:H104)</f>
        <v>39793</v>
      </c>
      <c r="I105" s="9">
        <f t="shared" ref="I105" si="215">AVERAGE(I102:I104)</f>
        <v>26495.333333333332</v>
      </c>
      <c r="J105" s="9">
        <f t="shared" ref="J105" si="216">AVERAGE(J102:J104)</f>
        <v>35037.333333333336</v>
      </c>
      <c r="K105" s="9">
        <f t="shared" ref="K105" si="217">AVERAGE(K102:K104)</f>
        <v>40436</v>
      </c>
      <c r="L105" s="9">
        <f t="shared" ref="L105" si="218">AVERAGE(L102:L104)</f>
        <v>27111.666666666668</v>
      </c>
      <c r="M105" s="9">
        <f t="shared" ref="M105" si="219">AVERAGE(M102:M104)</f>
        <v>35688</v>
      </c>
    </row>
    <row r="106" spans="1:13" x14ac:dyDescent="0.2">
      <c r="A106" s="11" t="s">
        <v>82</v>
      </c>
      <c r="B106" s="12">
        <v>11</v>
      </c>
      <c r="C106" s="12">
        <v>106607</v>
      </c>
      <c r="D106" s="13">
        <f>C106-E106-F106-G106-H106-I106-J106</f>
        <v>6079</v>
      </c>
      <c r="E106" s="12">
        <v>613</v>
      </c>
      <c r="F106" s="12">
        <v>927</v>
      </c>
      <c r="G106" s="12">
        <v>753</v>
      </c>
      <c r="H106" s="12">
        <v>33401</v>
      </c>
      <c r="I106" s="12">
        <v>33193</v>
      </c>
      <c r="J106" s="12">
        <v>31641</v>
      </c>
      <c r="K106" s="14">
        <f t="shared" ref="K106:K108" si="220">SUM(E106,H106)</f>
        <v>34014</v>
      </c>
      <c r="L106" s="14">
        <f t="shared" ref="L106:L108" si="221">SUM(F106,I106)</f>
        <v>34120</v>
      </c>
      <c r="M106" s="14">
        <f t="shared" ref="M106:M108" si="222">SUM(G106,J106)</f>
        <v>32394</v>
      </c>
    </row>
    <row r="107" spans="1:13" x14ac:dyDescent="0.2">
      <c r="A107" s="15" t="s">
        <v>82</v>
      </c>
      <c r="B107" s="9">
        <v>14</v>
      </c>
      <c r="C107" s="9">
        <v>96289</v>
      </c>
      <c r="D107" s="16">
        <f>C107-E107-F107-G107-H107-I107-J107</f>
        <v>5283</v>
      </c>
      <c r="E107" s="9">
        <v>573</v>
      </c>
      <c r="F107" s="9">
        <v>863</v>
      </c>
      <c r="G107" s="9">
        <v>633</v>
      </c>
      <c r="H107" s="9">
        <v>31345</v>
      </c>
      <c r="I107" s="9">
        <v>29305</v>
      </c>
      <c r="J107" s="9">
        <v>28287</v>
      </c>
      <c r="K107" s="17">
        <f t="shared" si="220"/>
        <v>31918</v>
      </c>
      <c r="L107" s="17">
        <f t="shared" si="221"/>
        <v>30168</v>
      </c>
      <c r="M107" s="17">
        <f t="shared" si="222"/>
        <v>28920</v>
      </c>
    </row>
    <row r="108" spans="1:13" ht="17" thickBot="1" x14ac:dyDescent="0.25">
      <c r="A108" s="18" t="s">
        <v>82</v>
      </c>
      <c r="B108" s="19">
        <v>17</v>
      </c>
      <c r="C108" s="19">
        <v>72332</v>
      </c>
      <c r="D108" s="20">
        <f>C108-E108-F108-G108-H108-I108-J108</f>
        <v>3582</v>
      </c>
      <c r="E108" s="19">
        <v>548</v>
      </c>
      <c r="F108" s="19">
        <v>739</v>
      </c>
      <c r="G108" s="19">
        <v>496</v>
      </c>
      <c r="H108" s="19">
        <v>24995</v>
      </c>
      <c r="I108" s="19">
        <v>22280</v>
      </c>
      <c r="J108" s="19">
        <v>19692</v>
      </c>
      <c r="K108" s="21">
        <f t="shared" si="220"/>
        <v>25543</v>
      </c>
      <c r="L108" s="21">
        <f t="shared" si="221"/>
        <v>23019</v>
      </c>
      <c r="M108" s="21">
        <f t="shared" si="222"/>
        <v>20188</v>
      </c>
    </row>
    <row r="109" spans="1:13" ht="17" thickBot="1" x14ac:dyDescent="0.25">
      <c r="A109" s="9"/>
      <c r="B109" s="9" t="s">
        <v>57</v>
      </c>
      <c r="C109" s="9">
        <f t="shared" ref="C109" si="223">AVERAGE(C106:C108)</f>
        <v>91742.666666666672</v>
      </c>
      <c r="D109" s="9">
        <f t="shared" ref="D109" si="224">AVERAGE(D106:D108)</f>
        <v>4981.333333333333</v>
      </c>
      <c r="E109" s="9">
        <f t="shared" ref="E109" si="225">AVERAGE(E106:E108)</f>
        <v>578</v>
      </c>
      <c r="F109" s="9">
        <f t="shared" ref="F109" si="226">AVERAGE(F106:F108)</f>
        <v>843</v>
      </c>
      <c r="G109" s="9">
        <f t="shared" ref="G109" si="227">AVERAGE(G106:G108)</f>
        <v>627.33333333333337</v>
      </c>
      <c r="H109" s="9">
        <f t="shared" ref="H109" si="228">AVERAGE(H106:H108)</f>
        <v>29913.666666666668</v>
      </c>
      <c r="I109" s="9">
        <f t="shared" ref="I109" si="229">AVERAGE(I106:I108)</f>
        <v>28259.333333333332</v>
      </c>
      <c r="J109" s="9">
        <f t="shared" ref="J109" si="230">AVERAGE(J106:J108)</f>
        <v>26540</v>
      </c>
      <c r="K109" s="9">
        <f t="shared" ref="K109" si="231">AVERAGE(K106:K108)</f>
        <v>30491.666666666668</v>
      </c>
      <c r="L109" s="9">
        <f t="shared" ref="L109" si="232">AVERAGE(L106:L108)</f>
        <v>29102.333333333332</v>
      </c>
      <c r="M109" s="9">
        <f t="shared" ref="M109" si="233">AVERAGE(M106:M108)</f>
        <v>27167.333333333332</v>
      </c>
    </row>
    <row r="110" spans="1:13" x14ac:dyDescent="0.2">
      <c r="A110" s="11" t="s">
        <v>83</v>
      </c>
      <c r="B110" s="12">
        <v>18</v>
      </c>
      <c r="C110" s="12">
        <v>146545</v>
      </c>
      <c r="D110" s="13">
        <f>C110-E110-F110-G110-H110-I110-J110</f>
        <v>4277</v>
      </c>
      <c r="E110" s="12">
        <v>545</v>
      </c>
      <c r="F110" s="12">
        <v>436</v>
      </c>
      <c r="G110" s="12">
        <v>563</v>
      </c>
      <c r="H110" s="12">
        <v>51709</v>
      </c>
      <c r="I110" s="12">
        <v>43391</v>
      </c>
      <c r="J110" s="12">
        <v>45624</v>
      </c>
      <c r="K110" s="14">
        <f t="shared" ref="K110:K112" si="234">SUM(E110,H110)</f>
        <v>52254</v>
      </c>
      <c r="L110" s="14">
        <f t="shared" ref="L110:L112" si="235">SUM(F110,I110)</f>
        <v>43827</v>
      </c>
      <c r="M110" s="14">
        <f t="shared" ref="M110:M112" si="236">SUM(G110,J110)</f>
        <v>46187</v>
      </c>
    </row>
    <row r="111" spans="1:13" x14ac:dyDescent="0.2">
      <c r="A111" s="15" t="s">
        <v>83</v>
      </c>
      <c r="B111" s="9">
        <v>15</v>
      </c>
      <c r="C111" s="9">
        <v>147945</v>
      </c>
      <c r="D111" s="16">
        <f>C111-E111-F111-G111-H111-I111-J111</f>
        <v>5506</v>
      </c>
      <c r="E111" s="9">
        <v>586</v>
      </c>
      <c r="F111" s="9">
        <v>476</v>
      </c>
      <c r="G111" s="9">
        <v>601</v>
      </c>
      <c r="H111" s="9">
        <v>52986</v>
      </c>
      <c r="I111" s="9">
        <v>42477</v>
      </c>
      <c r="J111" s="9">
        <v>45313</v>
      </c>
      <c r="K111" s="17">
        <f t="shared" si="234"/>
        <v>53572</v>
      </c>
      <c r="L111" s="17">
        <f t="shared" si="235"/>
        <v>42953</v>
      </c>
      <c r="M111" s="17">
        <f t="shared" si="236"/>
        <v>45914</v>
      </c>
    </row>
    <row r="112" spans="1:13" ht="17" thickBot="1" x14ac:dyDescent="0.25">
      <c r="A112" s="18" t="s">
        <v>83</v>
      </c>
      <c r="B112" s="19">
        <v>12</v>
      </c>
      <c r="C112" s="19">
        <v>148058</v>
      </c>
      <c r="D112" s="20">
        <f>C112-E112-F112-G112-H112-I112-J112</f>
        <v>6925</v>
      </c>
      <c r="E112" s="19">
        <v>627</v>
      </c>
      <c r="F112" s="19">
        <v>513</v>
      </c>
      <c r="G112" s="19">
        <v>528</v>
      </c>
      <c r="H112" s="19">
        <v>53553</v>
      </c>
      <c r="I112" s="19">
        <v>41844</v>
      </c>
      <c r="J112" s="19">
        <v>44068</v>
      </c>
      <c r="K112" s="21">
        <f t="shared" si="234"/>
        <v>54180</v>
      </c>
      <c r="L112" s="21">
        <f t="shared" si="235"/>
        <v>42357</v>
      </c>
      <c r="M112" s="21">
        <f t="shared" si="236"/>
        <v>44596</v>
      </c>
    </row>
    <row r="113" spans="1:13" ht="17" thickBot="1" x14ac:dyDescent="0.25">
      <c r="A113" s="9"/>
      <c r="B113" s="9" t="s">
        <v>57</v>
      </c>
      <c r="C113" s="9">
        <f t="shared" ref="C113" si="237">AVERAGE(C110:C112)</f>
        <v>147516</v>
      </c>
      <c r="D113" s="9">
        <f t="shared" ref="D113" si="238">AVERAGE(D110:D112)</f>
        <v>5569.333333333333</v>
      </c>
      <c r="E113" s="9">
        <f t="shared" ref="E113" si="239">AVERAGE(E110:E112)</f>
        <v>586</v>
      </c>
      <c r="F113" s="9">
        <f t="shared" ref="F113" si="240">AVERAGE(F110:F112)</f>
        <v>475</v>
      </c>
      <c r="G113" s="9">
        <f t="shared" ref="G113" si="241">AVERAGE(G110:G112)</f>
        <v>564</v>
      </c>
      <c r="H113" s="9">
        <f t="shared" ref="H113" si="242">AVERAGE(H110:H112)</f>
        <v>52749.333333333336</v>
      </c>
      <c r="I113" s="9">
        <f t="shared" ref="I113" si="243">AVERAGE(I110:I112)</f>
        <v>42570.666666666664</v>
      </c>
      <c r="J113" s="9">
        <f t="shared" ref="J113" si="244">AVERAGE(J110:J112)</f>
        <v>45001.666666666664</v>
      </c>
      <c r="K113" s="9">
        <f t="shared" ref="K113" si="245">AVERAGE(K110:K112)</f>
        <v>53335.333333333336</v>
      </c>
      <c r="L113" s="9">
        <f t="shared" ref="L113" si="246">AVERAGE(L110:L112)</f>
        <v>43045.666666666664</v>
      </c>
      <c r="M113" s="9">
        <f t="shared" ref="M113" si="247">AVERAGE(M110:M112)</f>
        <v>45565.666666666664</v>
      </c>
    </row>
    <row r="114" spans="1:13" x14ac:dyDescent="0.2">
      <c r="A114" s="11" t="s">
        <v>84</v>
      </c>
      <c r="B114" s="12">
        <v>11</v>
      </c>
      <c r="C114" s="12">
        <v>172156</v>
      </c>
      <c r="D114" s="13">
        <f>C114-E114-F114-G114-H114-I114-J114</f>
        <v>6608</v>
      </c>
      <c r="E114" s="12">
        <v>763</v>
      </c>
      <c r="F114" s="12">
        <v>568</v>
      </c>
      <c r="G114" s="12">
        <v>802</v>
      </c>
      <c r="H114" s="12">
        <v>62538</v>
      </c>
      <c r="I114" s="12">
        <v>46393</v>
      </c>
      <c r="J114" s="12">
        <v>54484</v>
      </c>
      <c r="K114" s="14">
        <f t="shared" ref="K114:K116" si="248">SUM(E114,H114)</f>
        <v>63301</v>
      </c>
      <c r="L114" s="14">
        <f t="shared" ref="L114:L116" si="249">SUM(F114,I114)</f>
        <v>46961</v>
      </c>
      <c r="M114" s="14">
        <f t="shared" ref="M114:M116" si="250">SUM(G114,J114)</f>
        <v>55286</v>
      </c>
    </row>
    <row r="115" spans="1:13" x14ac:dyDescent="0.2">
      <c r="A115" s="15" t="s">
        <v>84</v>
      </c>
      <c r="B115" s="9">
        <v>14</v>
      </c>
      <c r="C115" s="9">
        <v>171461</v>
      </c>
      <c r="D115" s="16">
        <f>C115-E115-F115-G115-H115-I115-J115</f>
        <v>7020</v>
      </c>
      <c r="E115" s="9">
        <v>760</v>
      </c>
      <c r="F115" s="9">
        <v>634</v>
      </c>
      <c r="G115" s="9">
        <v>716</v>
      </c>
      <c r="H115" s="9">
        <v>63173</v>
      </c>
      <c r="I115" s="9">
        <v>45328</v>
      </c>
      <c r="J115" s="9">
        <v>53830</v>
      </c>
      <c r="K115" s="17">
        <f t="shared" si="248"/>
        <v>63933</v>
      </c>
      <c r="L115" s="17">
        <f t="shared" si="249"/>
        <v>45962</v>
      </c>
      <c r="M115" s="17">
        <f t="shared" si="250"/>
        <v>54546</v>
      </c>
    </row>
    <row r="116" spans="1:13" ht="17" thickBot="1" x14ac:dyDescent="0.25">
      <c r="A116" s="18" t="s">
        <v>84</v>
      </c>
      <c r="B116" s="19">
        <v>17</v>
      </c>
      <c r="C116" s="19">
        <v>134743</v>
      </c>
      <c r="D116" s="20">
        <f>C116-E116-F116-G116-H116-I116-J116</f>
        <v>5326</v>
      </c>
      <c r="E116" s="19">
        <v>590</v>
      </c>
      <c r="F116" s="19">
        <v>552</v>
      </c>
      <c r="G116" s="19">
        <v>631</v>
      </c>
      <c r="H116" s="19">
        <v>48129</v>
      </c>
      <c r="I116" s="19">
        <v>37304</v>
      </c>
      <c r="J116" s="19">
        <v>42211</v>
      </c>
      <c r="K116" s="21">
        <f t="shared" si="248"/>
        <v>48719</v>
      </c>
      <c r="L116" s="21">
        <f t="shared" si="249"/>
        <v>37856</v>
      </c>
      <c r="M116" s="21">
        <f t="shared" si="250"/>
        <v>42842</v>
      </c>
    </row>
    <row r="117" spans="1:13" ht="17" thickBot="1" x14ac:dyDescent="0.25">
      <c r="A117" s="9"/>
      <c r="B117" s="9" t="s">
        <v>57</v>
      </c>
      <c r="C117" s="9">
        <f t="shared" ref="C117" si="251">AVERAGE(C114:C116)</f>
        <v>159453.33333333334</v>
      </c>
      <c r="D117" s="9">
        <f t="shared" ref="D117" si="252">AVERAGE(D114:D116)</f>
        <v>6318</v>
      </c>
      <c r="E117" s="9">
        <f t="shared" ref="E117" si="253">AVERAGE(E114:E116)</f>
        <v>704.33333333333337</v>
      </c>
      <c r="F117" s="9">
        <f t="shared" ref="F117" si="254">AVERAGE(F114:F116)</f>
        <v>584.66666666666663</v>
      </c>
      <c r="G117" s="9">
        <f t="shared" ref="G117" si="255">AVERAGE(G114:G116)</f>
        <v>716.33333333333337</v>
      </c>
      <c r="H117" s="9">
        <f t="shared" ref="H117" si="256">AVERAGE(H114:H116)</f>
        <v>57946.666666666664</v>
      </c>
      <c r="I117" s="9">
        <f t="shared" ref="I117" si="257">AVERAGE(I114:I116)</f>
        <v>43008.333333333336</v>
      </c>
      <c r="J117" s="9">
        <f t="shared" ref="J117" si="258">AVERAGE(J114:J116)</f>
        <v>50175</v>
      </c>
      <c r="K117" s="9">
        <f t="shared" ref="K117" si="259">AVERAGE(K114:K116)</f>
        <v>58651</v>
      </c>
      <c r="L117" s="9">
        <f t="shared" ref="L117" si="260">AVERAGE(L114:L116)</f>
        <v>43593</v>
      </c>
      <c r="M117" s="9">
        <f t="shared" ref="M117" si="261">AVERAGE(M114:M116)</f>
        <v>50891.333333333336</v>
      </c>
    </row>
    <row r="118" spans="1:13" x14ac:dyDescent="0.2">
      <c r="A118" s="11" t="s">
        <v>85</v>
      </c>
      <c r="B118" s="12">
        <v>17</v>
      </c>
      <c r="C118" s="12">
        <v>118466</v>
      </c>
      <c r="D118" s="13">
        <f>C118-E118-F118-G118-H118-I118-J118</f>
        <v>4221</v>
      </c>
      <c r="E118" s="12">
        <v>748</v>
      </c>
      <c r="F118" s="12">
        <v>694</v>
      </c>
      <c r="G118" s="12">
        <v>731</v>
      </c>
      <c r="H118" s="12">
        <v>41285</v>
      </c>
      <c r="I118" s="12">
        <v>33718</v>
      </c>
      <c r="J118" s="12">
        <v>37069</v>
      </c>
      <c r="K118" s="14">
        <f t="shared" ref="K118:K120" si="262">SUM(E118,H118)</f>
        <v>42033</v>
      </c>
      <c r="L118" s="14">
        <f t="shared" ref="L118:L120" si="263">SUM(F118,I118)</f>
        <v>34412</v>
      </c>
      <c r="M118" s="14">
        <f t="shared" ref="M118:M120" si="264">SUM(G118,J118)</f>
        <v>37800</v>
      </c>
    </row>
    <row r="119" spans="1:13" x14ac:dyDescent="0.2">
      <c r="A119" s="15" t="s">
        <v>85</v>
      </c>
      <c r="B119" s="9">
        <v>15</v>
      </c>
      <c r="C119" s="9">
        <v>130286</v>
      </c>
      <c r="D119" s="16">
        <f>C119-E119-F119-G119-H119-I119-J119</f>
        <v>4012</v>
      </c>
      <c r="E119" s="9">
        <v>719</v>
      </c>
      <c r="F119" s="9">
        <v>776</v>
      </c>
      <c r="G119" s="9">
        <v>758</v>
      </c>
      <c r="H119" s="9">
        <v>45080</v>
      </c>
      <c r="I119" s="9">
        <v>38138</v>
      </c>
      <c r="J119" s="9">
        <v>40803</v>
      </c>
      <c r="K119" s="17">
        <f t="shared" si="262"/>
        <v>45799</v>
      </c>
      <c r="L119" s="17">
        <f t="shared" si="263"/>
        <v>38914</v>
      </c>
      <c r="M119" s="17">
        <f t="shared" si="264"/>
        <v>41561</v>
      </c>
    </row>
    <row r="120" spans="1:13" ht="17" thickBot="1" x14ac:dyDescent="0.25">
      <c r="A120" s="18" t="s">
        <v>85</v>
      </c>
      <c r="B120" s="19">
        <v>12</v>
      </c>
      <c r="C120" s="19">
        <v>163135</v>
      </c>
      <c r="D120" s="20">
        <f>C120-E120-F120-G120-H120-I120-J120</f>
        <v>4767</v>
      </c>
      <c r="E120" s="19">
        <v>1000</v>
      </c>
      <c r="F120" s="19">
        <v>974</v>
      </c>
      <c r="G120" s="19">
        <v>1002</v>
      </c>
      <c r="H120" s="19">
        <v>56222</v>
      </c>
      <c r="I120" s="19">
        <v>45558</v>
      </c>
      <c r="J120" s="19">
        <v>53612</v>
      </c>
      <c r="K120" s="21">
        <f t="shared" si="262"/>
        <v>57222</v>
      </c>
      <c r="L120" s="21">
        <f t="shared" si="263"/>
        <v>46532</v>
      </c>
      <c r="M120" s="21">
        <f t="shared" si="264"/>
        <v>54614</v>
      </c>
    </row>
    <row r="121" spans="1:13" ht="17" thickBot="1" x14ac:dyDescent="0.25">
      <c r="A121" s="9"/>
      <c r="B121" s="9" t="s">
        <v>57</v>
      </c>
      <c r="C121" s="9">
        <f t="shared" ref="C121" si="265">AVERAGE(C118:C120)</f>
        <v>137295.66666666666</v>
      </c>
      <c r="D121" s="9">
        <f t="shared" ref="D121" si="266">AVERAGE(D118:D120)</f>
        <v>4333.333333333333</v>
      </c>
      <c r="E121" s="9">
        <f t="shared" ref="E121" si="267">AVERAGE(E118:E120)</f>
        <v>822.33333333333337</v>
      </c>
      <c r="F121" s="9">
        <f t="shared" ref="F121" si="268">AVERAGE(F118:F120)</f>
        <v>814.66666666666663</v>
      </c>
      <c r="G121" s="9">
        <f t="shared" ref="G121" si="269">AVERAGE(G118:G120)</f>
        <v>830.33333333333337</v>
      </c>
      <c r="H121" s="9">
        <f t="shared" ref="H121" si="270">AVERAGE(H118:H120)</f>
        <v>47529</v>
      </c>
      <c r="I121" s="9">
        <f t="shared" ref="I121" si="271">AVERAGE(I118:I120)</f>
        <v>39138</v>
      </c>
      <c r="J121" s="9">
        <f t="shared" ref="J121" si="272">AVERAGE(J118:J120)</f>
        <v>43828</v>
      </c>
      <c r="K121" s="9">
        <f t="shared" ref="K121" si="273">AVERAGE(K118:K120)</f>
        <v>48351.333333333336</v>
      </c>
      <c r="L121" s="9">
        <f t="shared" ref="L121" si="274">AVERAGE(L118:L120)</f>
        <v>39952.666666666664</v>
      </c>
      <c r="M121" s="9">
        <f t="shared" ref="M121" si="275">AVERAGE(M118:M120)</f>
        <v>44658.333333333336</v>
      </c>
    </row>
    <row r="122" spans="1:13" x14ac:dyDescent="0.2">
      <c r="A122" s="11" t="s">
        <v>86</v>
      </c>
      <c r="B122" s="12">
        <v>16</v>
      </c>
      <c r="C122" s="12">
        <v>106171</v>
      </c>
      <c r="D122" s="13">
        <f>C122-E122-F122-G122-H122-I122-J122</f>
        <v>2992</v>
      </c>
      <c r="E122" s="12">
        <v>532</v>
      </c>
      <c r="F122" s="12">
        <v>935</v>
      </c>
      <c r="G122" s="12">
        <v>770</v>
      </c>
      <c r="H122" s="12">
        <v>36597</v>
      </c>
      <c r="I122" s="12">
        <v>31538</v>
      </c>
      <c r="J122" s="12">
        <v>32807</v>
      </c>
      <c r="K122" s="14">
        <f t="shared" ref="K122:K124" si="276">SUM(E122,H122)</f>
        <v>37129</v>
      </c>
      <c r="L122" s="14">
        <f t="shared" ref="L122:L124" si="277">SUM(F122,I122)</f>
        <v>32473</v>
      </c>
      <c r="M122" s="14">
        <f t="shared" ref="M122:M124" si="278">SUM(G122,J122)</f>
        <v>33577</v>
      </c>
    </row>
    <row r="123" spans="1:13" x14ac:dyDescent="0.2">
      <c r="A123" s="15" t="s">
        <v>86</v>
      </c>
      <c r="B123" s="9">
        <v>13</v>
      </c>
      <c r="C123" s="9">
        <v>107433</v>
      </c>
      <c r="D123" s="16">
        <f>C123-E123-F123-G123-H123-I123-J123</f>
        <v>3523</v>
      </c>
      <c r="E123" s="9">
        <v>481</v>
      </c>
      <c r="F123" s="9">
        <v>988</v>
      </c>
      <c r="G123" s="9">
        <v>792</v>
      </c>
      <c r="H123" s="9">
        <v>35701</v>
      </c>
      <c r="I123" s="9">
        <v>30937</v>
      </c>
      <c r="J123" s="9">
        <v>35011</v>
      </c>
      <c r="K123" s="17">
        <f t="shared" si="276"/>
        <v>36182</v>
      </c>
      <c r="L123" s="17">
        <f t="shared" si="277"/>
        <v>31925</v>
      </c>
      <c r="M123" s="17">
        <f t="shared" si="278"/>
        <v>35803</v>
      </c>
    </row>
    <row r="124" spans="1:13" ht="17" thickBot="1" x14ac:dyDescent="0.25">
      <c r="A124" s="18" t="s">
        <v>86</v>
      </c>
      <c r="B124" s="19">
        <v>11</v>
      </c>
      <c r="C124" s="19">
        <v>122810</v>
      </c>
      <c r="D124" s="20">
        <f>C124-E124-F124-G124-H124-I124-J124</f>
        <v>3674</v>
      </c>
      <c r="E124" s="19">
        <v>591</v>
      </c>
      <c r="F124" s="19">
        <v>1010</v>
      </c>
      <c r="G124" s="19">
        <v>864</v>
      </c>
      <c r="H124" s="19">
        <v>40826</v>
      </c>
      <c r="I124" s="19">
        <v>35618</v>
      </c>
      <c r="J124" s="19">
        <v>40227</v>
      </c>
      <c r="K124" s="21">
        <f t="shared" si="276"/>
        <v>41417</v>
      </c>
      <c r="L124" s="21">
        <f t="shared" si="277"/>
        <v>36628</v>
      </c>
      <c r="M124" s="21">
        <f t="shared" si="278"/>
        <v>41091</v>
      </c>
    </row>
    <row r="125" spans="1:13" x14ac:dyDescent="0.2">
      <c r="A125" s="9"/>
      <c r="B125" s="9" t="s">
        <v>57</v>
      </c>
      <c r="C125" s="9">
        <f t="shared" ref="C125" si="279">AVERAGE(C122:C124)</f>
        <v>112138</v>
      </c>
      <c r="D125" s="9">
        <f t="shared" ref="D125" si="280">AVERAGE(D122:D124)</f>
        <v>3396.3333333333335</v>
      </c>
      <c r="E125" s="9">
        <f t="shared" ref="E125" si="281">AVERAGE(E122:E124)</f>
        <v>534.66666666666663</v>
      </c>
      <c r="F125" s="9">
        <f t="shared" ref="F125" si="282">AVERAGE(F122:F124)</f>
        <v>977.66666666666663</v>
      </c>
      <c r="G125" s="9">
        <f t="shared" ref="G125" si="283">AVERAGE(G122:G124)</f>
        <v>808.66666666666663</v>
      </c>
      <c r="H125" s="9">
        <f t="shared" ref="H125" si="284">AVERAGE(H122:H124)</f>
        <v>37708</v>
      </c>
      <c r="I125" s="9">
        <f t="shared" ref="I125" si="285">AVERAGE(I122:I124)</f>
        <v>32697.666666666668</v>
      </c>
      <c r="J125" s="9">
        <f t="shared" ref="J125" si="286">AVERAGE(J122:J124)</f>
        <v>36015</v>
      </c>
      <c r="K125" s="9">
        <f t="shared" ref="K125" si="287">AVERAGE(K122:K124)</f>
        <v>38242.666666666664</v>
      </c>
      <c r="L125" s="9">
        <f t="shared" ref="L125" si="288">AVERAGE(L122:L124)</f>
        <v>33675.333333333336</v>
      </c>
      <c r="M125" s="9">
        <f t="shared" ref="M125" si="289">AVERAGE(M122:M124)</f>
        <v>36823.666666666664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F3C4-98DA-9F44-BA80-89033235DF36}">
  <dimension ref="A1:AF36"/>
  <sheetViews>
    <sheetView workbookViewId="0">
      <selection activeCell="M36" sqref="M36:V36"/>
    </sheetView>
  </sheetViews>
  <sheetFormatPr baseColWidth="10" defaultColWidth="11" defaultRowHeight="16" x14ac:dyDescent="0.2"/>
  <sheetData>
    <row r="1" spans="1:32" ht="48" thickBot="1" x14ac:dyDescent="0.6">
      <c r="A1" s="38" t="s">
        <v>110</v>
      </c>
    </row>
    <row r="2" spans="1:32" ht="17" thickBot="1" x14ac:dyDescent="0.25">
      <c r="A2" s="1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30" t="s">
        <v>5</v>
      </c>
      <c r="G2" s="31" t="s">
        <v>6</v>
      </c>
      <c r="H2" s="6" t="s">
        <v>7</v>
      </c>
      <c r="I2" s="7" t="s">
        <v>8</v>
      </c>
      <c r="J2" s="7" t="s">
        <v>9</v>
      </c>
      <c r="K2" s="30" t="s">
        <v>10</v>
      </c>
      <c r="L2" s="31" t="s">
        <v>11</v>
      </c>
      <c r="M2" s="6" t="s">
        <v>12</v>
      </c>
      <c r="N2" s="7" t="s">
        <v>13</v>
      </c>
      <c r="O2" s="7" t="s">
        <v>14</v>
      </c>
      <c r="P2" s="30" t="s">
        <v>15</v>
      </c>
      <c r="Q2" s="31" t="s">
        <v>16</v>
      </c>
      <c r="R2" s="6" t="s">
        <v>17</v>
      </c>
      <c r="S2" s="7" t="s">
        <v>18</v>
      </c>
      <c r="T2" s="7" t="s">
        <v>19</v>
      </c>
      <c r="U2" s="30" t="s">
        <v>20</v>
      </c>
      <c r="V2" s="30" t="s">
        <v>21</v>
      </c>
      <c r="W2" s="6" t="s">
        <v>22</v>
      </c>
      <c r="X2" s="7" t="s">
        <v>23</v>
      </c>
      <c r="Y2" s="7" t="s">
        <v>24</v>
      </c>
      <c r="Z2" s="30" t="s">
        <v>25</v>
      </c>
      <c r="AA2" s="30" t="s">
        <v>26</v>
      </c>
      <c r="AB2" s="6" t="s">
        <v>27</v>
      </c>
      <c r="AC2" s="7" t="s">
        <v>28</v>
      </c>
      <c r="AD2" s="7" t="s">
        <v>29</v>
      </c>
      <c r="AE2" s="30" t="s">
        <v>30</v>
      </c>
      <c r="AF2" s="31" t="s">
        <v>31</v>
      </c>
    </row>
    <row r="3" spans="1:32" ht="17" thickBot="1" x14ac:dyDescent="0.25">
      <c r="A3" s="1"/>
      <c r="B3" s="6" t="s">
        <v>32</v>
      </c>
      <c r="C3" s="2">
        <v>2640.666667</v>
      </c>
      <c r="D3">
        <v>2342.666667</v>
      </c>
      <c r="E3">
        <v>2970.333333</v>
      </c>
      <c r="F3" s="24">
        <v>6246.333333333333</v>
      </c>
      <c r="G3" s="25">
        <v>5828.666666666667</v>
      </c>
      <c r="H3" s="2">
        <v>4055.666667</v>
      </c>
      <c r="I3">
        <v>5226.6666670000004</v>
      </c>
      <c r="J3">
        <v>5387</v>
      </c>
      <c r="K3" s="24">
        <v>5723</v>
      </c>
      <c r="L3" s="25">
        <v>6989.333333333333</v>
      </c>
      <c r="M3" s="2">
        <v>2451</v>
      </c>
      <c r="N3">
        <v>2391.333333</v>
      </c>
      <c r="O3">
        <v>1506</v>
      </c>
      <c r="P3" s="24">
        <v>6124.666666666667</v>
      </c>
      <c r="Q3" s="25">
        <v>5528</v>
      </c>
      <c r="R3" s="2">
        <v>4228</v>
      </c>
      <c r="S3">
        <v>4026</v>
      </c>
      <c r="T3">
        <v>2875.666667</v>
      </c>
      <c r="U3" s="24">
        <v>7208.666666666667</v>
      </c>
      <c r="V3" s="24">
        <v>6983</v>
      </c>
      <c r="W3" s="2">
        <v>3804</v>
      </c>
      <c r="X3">
        <v>4222.6666670000004</v>
      </c>
      <c r="Y3">
        <v>4304</v>
      </c>
      <c r="Z3" s="24">
        <v>8195.3333333333339</v>
      </c>
      <c r="AA3" s="24">
        <v>5329.666666666667</v>
      </c>
      <c r="AB3" s="2">
        <v>3644</v>
      </c>
      <c r="AC3">
        <v>3837.333333</v>
      </c>
      <c r="AD3">
        <v>2717.666667</v>
      </c>
      <c r="AE3" s="24">
        <v>7630.333333333333</v>
      </c>
      <c r="AF3" s="25">
        <v>7617.333333333333</v>
      </c>
    </row>
    <row r="4" spans="1:32" ht="17" thickBot="1" x14ac:dyDescent="0.25">
      <c r="A4" s="24" t="s">
        <v>33</v>
      </c>
      <c r="B4" s="6" t="s">
        <v>87</v>
      </c>
      <c r="C4" s="2">
        <v>7953</v>
      </c>
      <c r="D4">
        <v>10002</v>
      </c>
      <c r="E4">
        <v>14238.333329999999</v>
      </c>
      <c r="F4" s="24">
        <v>38196.333333333336</v>
      </c>
      <c r="G4" s="25">
        <v>35252.666666666664</v>
      </c>
      <c r="H4" s="2">
        <v>26330.666669999999</v>
      </c>
      <c r="I4">
        <v>25007</v>
      </c>
      <c r="J4">
        <v>19758</v>
      </c>
      <c r="K4" s="24">
        <v>52344</v>
      </c>
      <c r="L4" s="25">
        <v>29219</v>
      </c>
      <c r="M4" s="2">
        <v>15151</v>
      </c>
      <c r="N4">
        <v>16276.666670000001</v>
      </c>
      <c r="O4">
        <v>16719.333330000001</v>
      </c>
      <c r="P4" s="24">
        <v>62021</v>
      </c>
      <c r="Q4" s="25">
        <v>50881</v>
      </c>
      <c r="R4" s="2">
        <v>9579.3333330000005</v>
      </c>
      <c r="S4">
        <v>15634.666670000001</v>
      </c>
      <c r="T4">
        <v>15030.666670000001</v>
      </c>
      <c r="U4" s="24">
        <v>58496.666666666664</v>
      </c>
      <c r="V4" s="24">
        <v>12661.333333333334</v>
      </c>
      <c r="W4" s="2">
        <v>18351.333330000001</v>
      </c>
      <c r="X4">
        <v>14496.666670000001</v>
      </c>
      <c r="Y4">
        <v>19460.666669999999</v>
      </c>
      <c r="Z4" s="24">
        <v>52509.333333333336</v>
      </c>
      <c r="AA4" s="24">
        <v>48281.333333333336</v>
      </c>
      <c r="AB4" s="2">
        <v>13138.333329999999</v>
      </c>
      <c r="AC4">
        <v>17600.333330000001</v>
      </c>
      <c r="AD4">
        <v>17985.333330000001</v>
      </c>
      <c r="AE4" s="24">
        <v>38265</v>
      </c>
      <c r="AF4" s="25">
        <v>50012</v>
      </c>
    </row>
    <row r="5" spans="1:32" ht="17" thickBot="1" x14ac:dyDescent="0.25">
      <c r="A5" s="1"/>
      <c r="B5" s="6" t="s">
        <v>88</v>
      </c>
      <c r="C5" s="2">
        <v>7137.3333329999996</v>
      </c>
      <c r="D5">
        <v>7767.6666670000004</v>
      </c>
      <c r="E5">
        <v>7917.6666670000004</v>
      </c>
      <c r="F5" s="24">
        <v>15349.333333333334</v>
      </c>
      <c r="G5" s="25">
        <v>28659.333333333332</v>
      </c>
      <c r="H5" s="2">
        <v>21124.333330000001</v>
      </c>
      <c r="I5">
        <v>22862.666669999999</v>
      </c>
      <c r="J5">
        <v>15413.333329999999</v>
      </c>
      <c r="K5" s="24">
        <v>49584</v>
      </c>
      <c r="L5" s="25">
        <v>29615.333333333332</v>
      </c>
      <c r="M5" s="2">
        <v>16505.666669999999</v>
      </c>
      <c r="N5">
        <v>16843.666669999999</v>
      </c>
      <c r="O5">
        <v>15000.666670000001</v>
      </c>
      <c r="P5" s="24">
        <v>59587.666666666664</v>
      </c>
      <c r="Q5" s="25">
        <v>58482.666666666664</v>
      </c>
      <c r="R5" s="2">
        <v>6367</v>
      </c>
      <c r="S5">
        <v>8372.6666669999995</v>
      </c>
      <c r="T5">
        <v>10875.333329999999</v>
      </c>
      <c r="U5" s="24">
        <v>44663</v>
      </c>
      <c r="V5" s="24">
        <v>10152.333333333334</v>
      </c>
      <c r="W5" s="2">
        <v>12657.666670000001</v>
      </c>
      <c r="X5">
        <v>10393.666670000001</v>
      </c>
      <c r="Y5">
        <v>13884.333329999999</v>
      </c>
      <c r="Z5" s="24">
        <v>48446.666666666664</v>
      </c>
      <c r="AA5" s="24">
        <v>44280.333333333336</v>
      </c>
      <c r="AB5" s="2">
        <v>13887.333329999999</v>
      </c>
      <c r="AC5">
        <v>18961</v>
      </c>
      <c r="AD5">
        <v>16466.666669999999</v>
      </c>
      <c r="AE5" s="24">
        <v>41621</v>
      </c>
      <c r="AF5" s="25">
        <v>52212</v>
      </c>
    </row>
    <row r="6" spans="1:32" ht="17" thickBot="1" x14ac:dyDescent="0.25">
      <c r="A6" s="1"/>
      <c r="B6" s="6" t="s">
        <v>89</v>
      </c>
      <c r="C6" s="2">
        <v>5409.3333329999996</v>
      </c>
      <c r="D6">
        <v>5717</v>
      </c>
      <c r="E6">
        <v>8527</v>
      </c>
      <c r="F6" s="24">
        <v>31684.666666666668</v>
      </c>
      <c r="G6" s="25">
        <v>42398.333333333336</v>
      </c>
      <c r="H6" s="2">
        <v>14937.666670000001</v>
      </c>
      <c r="I6">
        <v>12142.333329999999</v>
      </c>
      <c r="J6">
        <v>18333.333330000001</v>
      </c>
      <c r="K6" s="24">
        <v>49072</v>
      </c>
      <c r="L6" s="25">
        <v>36429.333333333336</v>
      </c>
      <c r="M6" s="2">
        <v>12831</v>
      </c>
      <c r="N6">
        <v>15036.333329999999</v>
      </c>
      <c r="O6">
        <v>10791.333329999999</v>
      </c>
      <c r="P6" s="24">
        <v>50344.333333333336</v>
      </c>
      <c r="Q6" s="25">
        <v>50886</v>
      </c>
      <c r="R6" s="2">
        <v>8225.6666669999995</v>
      </c>
      <c r="S6">
        <v>7863.3333329999996</v>
      </c>
      <c r="T6">
        <v>4603.3333329999996</v>
      </c>
      <c r="U6" s="24">
        <v>44664.666666666664</v>
      </c>
      <c r="V6" s="24">
        <v>15796.333333333334</v>
      </c>
      <c r="W6" s="2">
        <v>6538.3333329999996</v>
      </c>
      <c r="X6">
        <v>5893.6666670000004</v>
      </c>
      <c r="Y6">
        <v>11391</v>
      </c>
      <c r="Z6" s="24">
        <v>55053</v>
      </c>
      <c r="AA6" s="24">
        <v>36781.666666666664</v>
      </c>
      <c r="AB6" s="2">
        <v>13150.666670000001</v>
      </c>
      <c r="AC6">
        <v>13578</v>
      </c>
      <c r="AD6">
        <v>13498.333329999999</v>
      </c>
      <c r="AE6" s="24">
        <v>73772.666666666672</v>
      </c>
      <c r="AF6" s="25">
        <v>44680.666666666664</v>
      </c>
    </row>
    <row r="7" spans="1:32" ht="17" thickBot="1" x14ac:dyDescent="0.25">
      <c r="A7" s="1"/>
      <c r="B7" s="6" t="s">
        <v>90</v>
      </c>
      <c r="C7" s="2">
        <v>3.0117394593522167</v>
      </c>
      <c r="D7">
        <v>4.2694934541449214</v>
      </c>
      <c r="E7">
        <v>4.7935136342490754</v>
      </c>
      <c r="F7" s="24">
        <v>6.1150008004696099</v>
      </c>
      <c r="G7" s="25">
        <v>6.0481528079606539</v>
      </c>
      <c r="H7" s="2">
        <v>6.4923152793217458</v>
      </c>
      <c r="I7">
        <v>4.7845025507152741</v>
      </c>
      <c r="J7">
        <v>3.6677185817709299</v>
      </c>
      <c r="K7" s="24">
        <v>9.1462519657522279</v>
      </c>
      <c r="L7" s="25">
        <v>4.1805131629149184</v>
      </c>
      <c r="M7" s="2">
        <v>6.1815585475316199</v>
      </c>
      <c r="N7">
        <v>6.8065235596329137</v>
      </c>
      <c r="O7">
        <v>11.101814960159363</v>
      </c>
      <c r="P7" s="24">
        <v>10.126428649178186</v>
      </c>
      <c r="Q7" s="25">
        <v>9.2042329956584652</v>
      </c>
      <c r="R7" s="2">
        <v>2.2656890570009462</v>
      </c>
      <c r="S7">
        <v>3.8834244088425236</v>
      </c>
      <c r="T7">
        <v>5.2268459493187844</v>
      </c>
      <c r="U7" s="24">
        <v>8.1147692592250067</v>
      </c>
      <c r="V7" s="24">
        <v>1.8131653062198674</v>
      </c>
      <c r="W7" s="2">
        <v>4.8242201182965303</v>
      </c>
      <c r="X7">
        <v>3.4330596784470271</v>
      </c>
      <c r="Y7">
        <v>4.5215303601301109</v>
      </c>
      <c r="Z7" s="24">
        <v>6.4072236232001947</v>
      </c>
      <c r="AA7" s="24">
        <v>9.0589780474075923</v>
      </c>
      <c r="AB7" s="2">
        <v>3.6054701783754113</v>
      </c>
      <c r="AC7">
        <v>4.5866052809752089</v>
      </c>
      <c r="AD7">
        <v>6.6179320475140528</v>
      </c>
      <c r="AE7" s="24">
        <v>5.0148529989952388</v>
      </c>
      <c r="AF7" s="25">
        <v>6.5655522492560827</v>
      </c>
    </row>
    <row r="8" spans="1:32" ht="17" thickBot="1" x14ac:dyDescent="0.25">
      <c r="A8" s="1"/>
      <c r="B8" s="6" t="s">
        <v>91</v>
      </c>
      <c r="C8" s="2">
        <v>2.7028528144783066</v>
      </c>
      <c r="D8">
        <v>3.3157370514633273</v>
      </c>
      <c r="E8">
        <v>2.6655818655218924</v>
      </c>
      <c r="F8" s="24">
        <v>2.4573349698489784</v>
      </c>
      <c r="G8" s="25">
        <v>4.9169621411414841</v>
      </c>
      <c r="H8" s="2">
        <v>5.2085970234890615</v>
      </c>
      <c r="I8">
        <v>4.3742346942363364</v>
      </c>
      <c r="J8">
        <v>2.8612090829775383</v>
      </c>
      <c r="K8" s="24">
        <v>8.6639874191857409</v>
      </c>
      <c r="L8" s="25">
        <v>4.2372186188477681</v>
      </c>
      <c r="M8" s="2">
        <v>6.7342581272949813</v>
      </c>
      <c r="N8">
        <v>7.0436297765603042</v>
      </c>
      <c r="O8">
        <v>9.9606020385126168</v>
      </c>
      <c r="P8" s="24">
        <v>9.7291281158158256</v>
      </c>
      <c r="Q8" s="25">
        <v>10.579353593825374</v>
      </c>
      <c r="R8" s="2">
        <v>1.5059129612109745</v>
      </c>
      <c r="S8">
        <v>2.0796489485842025</v>
      </c>
      <c r="T8">
        <v>3.7818476858952303</v>
      </c>
      <c r="U8" s="24">
        <v>6.1957366133357992</v>
      </c>
      <c r="V8" s="24">
        <v>1.4538641462599649</v>
      </c>
      <c r="W8" s="2">
        <v>3.3274623212407994</v>
      </c>
      <c r="X8">
        <v>2.4613988007213923</v>
      </c>
      <c r="Y8">
        <v>3.2259138777881038</v>
      </c>
      <c r="Z8" s="24">
        <v>5.9114943463759859</v>
      </c>
      <c r="AA8" s="24">
        <v>8.308274438676591</v>
      </c>
      <c r="AB8" s="2">
        <v>3.8110135373216245</v>
      </c>
      <c r="AC8">
        <v>4.9411918002902357</v>
      </c>
      <c r="AD8">
        <v>6.0591193430566515</v>
      </c>
      <c r="AE8" s="24">
        <v>5.4546765104189419</v>
      </c>
      <c r="AF8" s="25">
        <v>6.8543672326273413</v>
      </c>
    </row>
    <row r="9" spans="1:32" ht="17" thickBot="1" x14ac:dyDescent="0.25">
      <c r="A9" s="1"/>
      <c r="B9" s="6" t="s">
        <v>92</v>
      </c>
      <c r="C9" s="4">
        <v>2.0484726075424802</v>
      </c>
      <c r="D9" s="5">
        <v>2.440381331468358</v>
      </c>
      <c r="E9" s="5">
        <v>2.8707215803917316</v>
      </c>
      <c r="F9" s="27">
        <v>5.0725225465606494</v>
      </c>
      <c r="G9" s="28">
        <v>7.2741049982843418</v>
      </c>
      <c r="H9" s="4">
        <v>3.6831593660160142</v>
      </c>
      <c r="I9" s="5">
        <v>2.3231505094181659</v>
      </c>
      <c r="J9" s="5">
        <v>3.4032547484685356</v>
      </c>
      <c r="K9" s="27">
        <v>8.5745238511270312</v>
      </c>
      <c r="L9" s="28">
        <v>5.2121327737504775</v>
      </c>
      <c r="M9" s="4">
        <v>5.2350061199510405</v>
      </c>
      <c r="N9" s="5">
        <v>6.2878449953007864</v>
      </c>
      <c r="O9" s="5">
        <v>7.1655599800796805</v>
      </c>
      <c r="P9" s="27">
        <v>8.2199303363448344</v>
      </c>
      <c r="Q9" s="28">
        <v>9.2051374819102758</v>
      </c>
      <c r="R9" s="4">
        <v>1.9455219174550613</v>
      </c>
      <c r="S9" s="5">
        <v>1.9531379366616988</v>
      </c>
      <c r="T9" s="5">
        <v>1.600788222719278</v>
      </c>
      <c r="U9" s="27">
        <v>6.1959678165171548</v>
      </c>
      <c r="V9" s="27">
        <v>2.262112750011934</v>
      </c>
      <c r="W9" s="4">
        <v>1.7188047668243953</v>
      </c>
      <c r="X9" s="5">
        <v>1.3957215029684462</v>
      </c>
      <c r="Y9" s="5">
        <v>2.64660780669145</v>
      </c>
      <c r="Z9" s="27">
        <v>6.7176035141950701</v>
      </c>
      <c r="AA9" s="27">
        <v>6.9013071486647064</v>
      </c>
      <c r="AB9" s="4">
        <v>3.6088547392974752</v>
      </c>
      <c r="AC9" s="5">
        <v>3.5383947188619174</v>
      </c>
      <c r="AD9" s="5">
        <v>4.9668833539841915</v>
      </c>
      <c r="AE9" s="27">
        <v>9.6683412694945616</v>
      </c>
      <c r="AF9" s="28">
        <v>5.8656572728863994</v>
      </c>
    </row>
    <row r="10" spans="1:32" ht="17" thickBot="1" x14ac:dyDescent="0.25"/>
    <row r="11" spans="1:32" ht="23" thickBot="1" x14ac:dyDescent="0.35">
      <c r="B11" s="32" t="s">
        <v>40</v>
      </c>
      <c r="C11" s="29" t="s">
        <v>41</v>
      </c>
      <c r="D11" s="33" t="s">
        <v>42</v>
      </c>
    </row>
    <row r="12" spans="1:32" ht="17" thickBot="1" x14ac:dyDescent="0.25">
      <c r="B12" s="6" t="s">
        <v>87</v>
      </c>
      <c r="C12">
        <f t="shared" ref="C12:C17" si="0">MEDIAN(C4:E4,H4:J4,M4:O4,R4:T4,W4:Y4,AB4:AD4)</f>
        <v>15955.666670000001</v>
      </c>
      <c r="D12" s="34">
        <f>MEDIAN(F4:G4,K4:L4,P4:Q4,U4:V4,Z4:AA4,AE4:AF4)</f>
        <v>49146.666666666672</v>
      </c>
    </row>
    <row r="13" spans="1:32" ht="17" thickBot="1" x14ac:dyDescent="0.25">
      <c r="B13" s="6" t="s">
        <v>88</v>
      </c>
      <c r="C13">
        <f t="shared" si="0"/>
        <v>13885.833329999999</v>
      </c>
      <c r="D13" s="34">
        <f t="shared" ref="D13:D17" si="1">MEDIAN(F5:G5,K5:L5,P5:Q5,U5:V5,Z5:AA5,AE5:AF5)</f>
        <v>44471.666666666672</v>
      </c>
    </row>
    <row r="14" spans="1:32" ht="17" thickBot="1" x14ac:dyDescent="0.25">
      <c r="B14" s="6" t="s">
        <v>89</v>
      </c>
      <c r="C14">
        <f t="shared" si="0"/>
        <v>11091.166665000001</v>
      </c>
      <c r="D14" s="34">
        <f t="shared" si="1"/>
        <v>44672.666666666664</v>
      </c>
    </row>
    <row r="15" spans="1:32" ht="17" thickBot="1" x14ac:dyDescent="0.25">
      <c r="B15" s="6" t="s">
        <v>90</v>
      </c>
      <c r="C15">
        <f t="shared" si="0"/>
        <v>4.6855539158452419</v>
      </c>
      <c r="D15" s="34">
        <f t="shared" si="1"/>
        <v>6.4863879362281391</v>
      </c>
    </row>
    <row r="16" spans="1:32" ht="17" thickBot="1" x14ac:dyDescent="0.25">
      <c r="B16" s="6" t="s">
        <v>91</v>
      </c>
      <c r="C16">
        <f t="shared" si="0"/>
        <v>3.5546550035680147</v>
      </c>
      <c r="D16" s="34">
        <f t="shared" si="1"/>
        <v>6.0536154798558925</v>
      </c>
    </row>
    <row r="17" spans="1:32" ht="17" thickBot="1" x14ac:dyDescent="0.25">
      <c r="B17" s="6" t="s">
        <v>92</v>
      </c>
      <c r="C17" s="5">
        <f t="shared" si="0"/>
        <v>2.7586646935415908</v>
      </c>
      <c r="D17" s="35">
        <f t="shared" si="1"/>
        <v>6.8094553314298878</v>
      </c>
    </row>
    <row r="18" spans="1:32" ht="17" thickBot="1" x14ac:dyDescent="0.25"/>
    <row r="19" spans="1:32" ht="17" thickBot="1" x14ac:dyDescent="0.25">
      <c r="B19" s="6" t="s">
        <v>1</v>
      </c>
      <c r="C19" s="6" t="s">
        <v>2</v>
      </c>
      <c r="D19" s="7" t="s">
        <v>3</v>
      </c>
      <c r="E19" s="7" t="s">
        <v>4</v>
      </c>
      <c r="F19" s="30" t="s">
        <v>5</v>
      </c>
      <c r="G19" s="31" t="s">
        <v>6</v>
      </c>
      <c r="H19" s="6" t="s">
        <v>7</v>
      </c>
      <c r="I19" s="7" t="s">
        <v>8</v>
      </c>
      <c r="J19" s="7" t="s">
        <v>9</v>
      </c>
      <c r="K19" s="30" t="s">
        <v>10</v>
      </c>
      <c r="L19" s="31" t="s">
        <v>11</v>
      </c>
      <c r="M19" s="6" t="s">
        <v>12</v>
      </c>
      <c r="N19" s="7" t="s">
        <v>13</v>
      </c>
      <c r="O19" s="7" t="s">
        <v>14</v>
      </c>
      <c r="P19" s="30" t="s">
        <v>15</v>
      </c>
      <c r="Q19" s="31" t="s">
        <v>16</v>
      </c>
      <c r="R19" s="6" t="s">
        <v>17</v>
      </c>
      <c r="S19" s="7" t="s">
        <v>18</v>
      </c>
      <c r="T19" s="7" t="s">
        <v>19</v>
      </c>
      <c r="U19" s="30" t="s">
        <v>20</v>
      </c>
      <c r="V19" s="30" t="s">
        <v>21</v>
      </c>
      <c r="W19" s="6" t="s">
        <v>22</v>
      </c>
      <c r="X19" s="7" t="s">
        <v>23</v>
      </c>
      <c r="Y19" s="7" t="s">
        <v>24</v>
      </c>
      <c r="Z19" s="30" t="s">
        <v>25</v>
      </c>
      <c r="AA19" s="30" t="s">
        <v>26</v>
      </c>
      <c r="AB19" s="6" t="s">
        <v>27</v>
      </c>
      <c r="AC19" s="7" t="s">
        <v>28</v>
      </c>
      <c r="AD19" s="7" t="s">
        <v>29</v>
      </c>
      <c r="AE19" s="30" t="s">
        <v>30</v>
      </c>
      <c r="AF19" s="31" t="s">
        <v>31</v>
      </c>
    </row>
    <row r="20" spans="1:32" ht="17" thickBot="1" x14ac:dyDescent="0.25">
      <c r="B20" s="6" t="s">
        <v>87</v>
      </c>
      <c r="C20" s="2">
        <f>C4/C12</f>
        <v>0.49844360404904348</v>
      </c>
      <c r="D20">
        <f>D4/C12</f>
        <v>0.62686192979989097</v>
      </c>
      <c r="E20">
        <f>E4/C12</f>
        <v>0.89236843715036063</v>
      </c>
      <c r="F20" s="24">
        <f>F4/D12</f>
        <v>0.77719072164948455</v>
      </c>
      <c r="G20" s="25">
        <f>G4/D12</f>
        <v>0.71729517091698303</v>
      </c>
      <c r="H20" s="2">
        <f>H4/C12</f>
        <v>1.6502392043265215</v>
      </c>
      <c r="I20">
        <f>I4/C12</f>
        <v>1.5672801718162241</v>
      </c>
      <c r="J20">
        <f>J4/C12</f>
        <v>1.2383061396706905</v>
      </c>
      <c r="K20" s="24">
        <f>K4/D12</f>
        <v>1.0650569723277263</v>
      </c>
      <c r="L20" s="25">
        <f>L4/D12</f>
        <v>0.59452658708627237</v>
      </c>
      <c r="M20" s="2">
        <f>M4/C12</f>
        <v>0.94956859612059064</v>
      </c>
      <c r="N20">
        <f>N4/C12</f>
        <v>1.020118244297717</v>
      </c>
      <c r="O20">
        <f>O4/C12</f>
        <v>1.047861783264491</v>
      </c>
      <c r="P20" s="24">
        <f>P4/D12</f>
        <v>1.2619574064026042</v>
      </c>
      <c r="Q20" s="25">
        <f>Q4/D12</f>
        <v>1.035288931090613</v>
      </c>
      <c r="R20" s="2">
        <f>R4/C12</f>
        <v>0.60037186355936834</v>
      </c>
      <c r="S20">
        <f>S4/C12</f>
        <v>0.97988175570228309</v>
      </c>
      <c r="T20">
        <f>T4/C12</f>
        <v>0.94202686612028608</v>
      </c>
      <c r="U20" s="24">
        <f>U4/D12</f>
        <v>1.1902468800868149</v>
      </c>
      <c r="V20" s="24">
        <f>V4/D12</f>
        <v>0.25762344004340748</v>
      </c>
      <c r="W20" s="2">
        <f>W4/C12</f>
        <v>1.1501451935257807</v>
      </c>
      <c r="X20">
        <f>X4/C12</f>
        <v>0.90855913261567278</v>
      </c>
      <c r="Y20">
        <f>Y4/C12</f>
        <v>1.2196711721604296</v>
      </c>
      <c r="Z20" s="24">
        <f>Z4/D12</f>
        <v>1.0684210526315789</v>
      </c>
      <c r="AA20" s="24">
        <f>AA4/D12</f>
        <v>0.98239283776451436</v>
      </c>
      <c r="AB20" s="2">
        <f>AB4/C12</f>
        <v>0.82342741307718725</v>
      </c>
      <c r="AC20">
        <f>AC4/C12</f>
        <v>1.1030772761812779</v>
      </c>
      <c r="AD20">
        <f>AD4/C12</f>
        <v>1.1272066346068885</v>
      </c>
      <c r="AE20" s="24">
        <f>AE4/D12</f>
        <v>0.77858790016277801</v>
      </c>
      <c r="AF20" s="25">
        <f>AF4/D12</f>
        <v>1.0176071622354854</v>
      </c>
    </row>
    <row r="21" spans="1:32" ht="17" thickBot="1" x14ac:dyDescent="0.25">
      <c r="B21" s="6" t="s">
        <v>88</v>
      </c>
      <c r="C21" s="2">
        <f>C5/C13</f>
        <v>0.5140010803370344</v>
      </c>
      <c r="D21">
        <f t="shared" ref="D21:D25" si="2">D5/C13</f>
        <v>0.5593950670730109</v>
      </c>
      <c r="E21">
        <f t="shared" ref="E21:F25" si="3">E5/C13</f>
        <v>0.57019744359843905</v>
      </c>
      <c r="F21" s="24">
        <f t="shared" si="3"/>
        <v>0.34514859648465313</v>
      </c>
      <c r="G21" s="25">
        <f t="shared" ref="G21:G25" si="4">G5/D13</f>
        <v>0.64444028032829881</v>
      </c>
      <c r="H21" s="2">
        <f t="shared" ref="H21:H25" si="5">H5/C13</f>
        <v>1.5212866831954119</v>
      </c>
      <c r="I21">
        <f t="shared" ref="I21:I25" si="6">I5/C13</f>
        <v>1.646474224964646</v>
      </c>
      <c r="J21">
        <f t="shared" ref="J21:K25" si="7">J5/C13</f>
        <v>1.1100042009506101</v>
      </c>
      <c r="K21" s="24">
        <f t="shared" si="7"/>
        <v>1.1149570887831202</v>
      </c>
      <c r="L21" s="25">
        <f t="shared" ref="L21:L25" si="8">L5/D13</f>
        <v>0.66593711351797014</v>
      </c>
      <c r="M21" s="2">
        <f t="shared" ref="M21:M25" si="9">M5/C13</f>
        <v>1.1886695078170004</v>
      </c>
      <c r="N21">
        <f t="shared" ref="N21:N25" si="10">N5/C13</f>
        <v>1.2130108629209653</v>
      </c>
      <c r="O21">
        <f t="shared" ref="O21:P25" si="11">O5/C13</f>
        <v>1.0802856633452045</v>
      </c>
      <c r="P21" s="24">
        <f t="shared" si="11"/>
        <v>1.3399018101412883</v>
      </c>
      <c r="Q21" s="25">
        <f t="shared" ref="Q21:Q25" si="12">Q5/D13</f>
        <v>1.3150545291009255</v>
      </c>
      <c r="R21" s="2">
        <f t="shared" ref="R21:R25" si="13">R5/C13</f>
        <v>0.45852487558267419</v>
      </c>
      <c r="S21">
        <f t="shared" ref="S21:S25" si="14">S5/C13</f>
        <v>0.60296465239223784</v>
      </c>
      <c r="T21">
        <f>T5/C13</f>
        <v>0.78319630313465671</v>
      </c>
      <c r="U21" s="24">
        <f t="shared" ref="T21:U25" si="15">U5/D13</f>
        <v>1.004302364801559</v>
      </c>
      <c r="V21" s="24">
        <f t="shared" ref="V21:V25" si="16">V5/D13</f>
        <v>0.22828767379979761</v>
      </c>
      <c r="W21" s="2">
        <f t="shared" ref="W21:W25" si="17">W5/C13</f>
        <v>0.91155254201801661</v>
      </c>
      <c r="X21">
        <f t="shared" ref="X21:X25" si="18">X5/C13</f>
        <v>0.74850867232755425</v>
      </c>
      <c r="Y21">
        <f t="shared" ref="Y21:Z25" si="19">Y5/C13</f>
        <v>0.99989197623474568</v>
      </c>
      <c r="Z21" s="24">
        <f t="shared" si="19"/>
        <v>1.0893827530637483</v>
      </c>
      <c r="AA21" s="24">
        <f t="shared" ref="AA21:AA25" si="20">AA5/D13</f>
        <v>0.9956976351984409</v>
      </c>
      <c r="AB21" s="2">
        <f t="shared" ref="AB21:AB25" si="21">AB5/C13</f>
        <v>1.0001080237652542</v>
      </c>
      <c r="AC21">
        <f t="shared" ref="AC21:AC25" si="22">AC5/C13</f>
        <v>1.365492408657623</v>
      </c>
      <c r="AD21">
        <f t="shared" ref="AD21:AE25" si="23">AD5/C13</f>
        <v>1.1858608899203891</v>
      </c>
      <c r="AE21" s="24">
        <f t="shared" si="23"/>
        <v>0.93589926170220727</v>
      </c>
      <c r="AF21" s="25">
        <f t="shared" ref="AF21:AF25" si="24">AF5/D13</f>
        <v>1.1740508938275305</v>
      </c>
    </row>
    <row r="22" spans="1:32" ht="17" thickBot="1" x14ac:dyDescent="0.25">
      <c r="B22" s="6" t="s">
        <v>89</v>
      </c>
      <c r="C22" s="2">
        <f t="shared" ref="C22:C25" si="25">C6/C14</f>
        <v>0.4877154492746052</v>
      </c>
      <c r="D22">
        <f t="shared" si="2"/>
        <v>0.5154552422371339</v>
      </c>
      <c r="E22">
        <f t="shared" si="3"/>
        <v>0.76881001409061411</v>
      </c>
      <c r="F22" s="24">
        <f t="shared" si="3"/>
        <v>0.70926293482964986</v>
      </c>
      <c r="G22" s="25">
        <f t="shared" si="4"/>
        <v>0.94908892835290792</v>
      </c>
      <c r="H22" s="2">
        <f t="shared" si="5"/>
        <v>1.3468075200004219</v>
      </c>
      <c r="I22">
        <f t="shared" si="6"/>
        <v>1.0947751212067824</v>
      </c>
      <c r="J22">
        <f t="shared" si="7"/>
        <v>1.6529670758490942</v>
      </c>
      <c r="K22" s="24">
        <f t="shared" si="7"/>
        <v>1.098479308749571</v>
      </c>
      <c r="L22" s="25">
        <f t="shared" si="8"/>
        <v>0.81547254846363926</v>
      </c>
      <c r="M22" s="2">
        <f t="shared" si="9"/>
        <v>1.1568665756768699</v>
      </c>
      <c r="N22">
        <f t="shared" si="10"/>
        <v>1.3557034876637117</v>
      </c>
      <c r="O22">
        <f t="shared" si="11"/>
        <v>0.97296647466797392</v>
      </c>
      <c r="P22" s="24">
        <f t="shared" si="11"/>
        <v>1.1269605575370474</v>
      </c>
      <c r="Q22" s="25">
        <f t="shared" si="12"/>
        <v>1.1390857944455224</v>
      </c>
      <c r="R22" s="2">
        <f t="shared" si="13"/>
        <v>0.74164124617813587</v>
      </c>
      <c r="S22">
        <f>S6/C14</f>
        <v>0.7089726059039434</v>
      </c>
      <c r="T22">
        <f>T6/C14</f>
        <v>0.41504500581769949</v>
      </c>
      <c r="U22" s="24">
        <f t="shared" si="15"/>
        <v>0.99982091957796715</v>
      </c>
      <c r="V22" s="24">
        <f t="shared" si="16"/>
        <v>0.35360175498813595</v>
      </c>
      <c r="W22" s="2">
        <f t="shared" si="17"/>
        <v>0.58950816721858346</v>
      </c>
      <c r="X22">
        <f t="shared" si="18"/>
        <v>0.5313838340919026</v>
      </c>
      <c r="Y22">
        <f t="shared" si="19"/>
        <v>1.027033525332026</v>
      </c>
      <c r="Z22" s="24">
        <f t="shared" si="19"/>
        <v>1.232364309271889</v>
      </c>
      <c r="AA22" s="24">
        <f t="shared" si="20"/>
        <v>0.82335954871733652</v>
      </c>
      <c r="AB22" s="2">
        <f t="shared" si="21"/>
        <v>1.1856883109960912</v>
      </c>
      <c r="AC22">
        <f t="shared" si="22"/>
        <v>1.2242174705432578</v>
      </c>
      <c r="AD22">
        <f t="shared" si="23"/>
        <v>1.217034576948177</v>
      </c>
      <c r="AE22" s="24">
        <f t="shared" si="23"/>
        <v>1.6514050351445331</v>
      </c>
      <c r="AF22" s="25">
        <f t="shared" si="24"/>
        <v>1.000179080422033</v>
      </c>
    </row>
    <row r="23" spans="1:32" ht="17" thickBot="1" x14ac:dyDescent="0.25">
      <c r="B23" s="6" t="s">
        <v>90</v>
      </c>
      <c r="C23" s="2">
        <f t="shared" si="25"/>
        <v>0.64277127388660504</v>
      </c>
      <c r="D23">
        <f t="shared" si="2"/>
        <v>0.91120356970105076</v>
      </c>
      <c r="E23">
        <f t="shared" si="3"/>
        <v>1.023040972389357</v>
      </c>
      <c r="F23" s="24">
        <f t="shared" si="3"/>
        <v>0.94274361333150658</v>
      </c>
      <c r="G23" s="25">
        <f t="shared" si="4"/>
        <v>0.932437724573976</v>
      </c>
      <c r="H23" s="2">
        <f t="shared" si="5"/>
        <v>1.3856025127288663</v>
      </c>
      <c r="I23">
        <f t="shared" si="6"/>
        <v>1.0211178094729452</v>
      </c>
      <c r="J23">
        <f t="shared" si="7"/>
        <v>0.78277160985550165</v>
      </c>
      <c r="K23" s="24">
        <f t="shared" si="7"/>
        <v>1.4100686014581501</v>
      </c>
      <c r="L23" s="25">
        <f t="shared" si="8"/>
        <v>0.64450557136209519</v>
      </c>
      <c r="M23" s="2">
        <f t="shared" si="9"/>
        <v>1.3192802086061386</v>
      </c>
      <c r="N23">
        <f t="shared" si="10"/>
        <v>1.4526614530280275</v>
      </c>
      <c r="O23">
        <f t="shared" si="11"/>
        <v>2.3693708704569825</v>
      </c>
      <c r="P23" s="24">
        <f t="shared" si="11"/>
        <v>1.5611814693690285</v>
      </c>
      <c r="Q23" s="25">
        <f t="shared" si="12"/>
        <v>1.4190074793785405</v>
      </c>
      <c r="R23" s="2">
        <f t="shared" si="13"/>
        <v>0.48354775074490447</v>
      </c>
      <c r="S23">
        <f t="shared" si="14"/>
        <v>0.82880796563024506</v>
      </c>
      <c r="T23">
        <f>T7/C15</f>
        <v>1.1155235951171201</v>
      </c>
      <c r="U23" s="24">
        <f t="shared" si="15"/>
        <v>1.2510459348109508</v>
      </c>
      <c r="V23" s="24">
        <f t="shared" si="16"/>
        <v>0.27953389838015613</v>
      </c>
      <c r="W23" s="2">
        <f t="shared" si="17"/>
        <v>1.0295944097414733</v>
      </c>
      <c r="X23">
        <f t="shared" si="18"/>
        <v>0.73269025180510094</v>
      </c>
      <c r="Y23">
        <f t="shared" si="19"/>
        <v>0.96499377476792036</v>
      </c>
      <c r="Z23" s="24">
        <f t="shared" si="19"/>
        <v>0.98779531631375428</v>
      </c>
      <c r="AA23" s="24">
        <f t="shared" si="20"/>
        <v>1.3966136679569963</v>
      </c>
      <c r="AB23" s="2">
        <f t="shared" si="21"/>
        <v>0.76948643492986235</v>
      </c>
      <c r="AC23">
        <f t="shared" si="22"/>
        <v>0.97888219052705461</v>
      </c>
      <c r="AD23">
        <f t="shared" si="23"/>
        <v>1.4124118869135289</v>
      </c>
      <c r="AE23" s="24">
        <f t="shared" si="23"/>
        <v>0.77313491704466197</v>
      </c>
      <c r="AF23" s="25">
        <f t="shared" si="24"/>
        <v>1.0122046836862455</v>
      </c>
    </row>
    <row r="24" spans="1:32" ht="17" thickBot="1" x14ac:dyDescent="0.25">
      <c r="B24" s="6" t="s">
        <v>91</v>
      </c>
      <c r="C24" s="2">
        <f t="shared" si="25"/>
        <v>0.76036994075804698</v>
      </c>
      <c r="D24">
        <f t="shared" si="2"/>
        <v>0.93278730232192109</v>
      </c>
      <c r="E24">
        <f t="shared" si="3"/>
        <v>0.74988483069279366</v>
      </c>
      <c r="F24" s="24">
        <f t="shared" si="3"/>
        <v>0.40592848654263647</v>
      </c>
      <c r="G24" s="25">
        <f t="shared" si="4"/>
        <v>0.81223562307570507</v>
      </c>
      <c r="H24" s="2">
        <f t="shared" si="5"/>
        <v>1.4652890416259492</v>
      </c>
      <c r="I24">
        <f t="shared" si="6"/>
        <v>1.2305651856075095</v>
      </c>
      <c r="J24">
        <f t="shared" si="7"/>
        <v>0.80491892465107751</v>
      </c>
      <c r="K24" s="24">
        <f t="shared" si="7"/>
        <v>1.431208745916579</v>
      </c>
      <c r="L24" s="25">
        <f t="shared" si="8"/>
        <v>0.69994842469720853</v>
      </c>
      <c r="M24" s="2">
        <f t="shared" si="9"/>
        <v>1.8944899351794797</v>
      </c>
      <c r="N24">
        <f t="shared" si="10"/>
        <v>1.9815227552294672</v>
      </c>
      <c r="O24">
        <f t="shared" si="11"/>
        <v>2.8021290472674787</v>
      </c>
      <c r="P24" s="24">
        <f t="shared" si="11"/>
        <v>1.6071599109970938</v>
      </c>
      <c r="Q24" s="25">
        <f t="shared" si="12"/>
        <v>1.7476091154169604</v>
      </c>
      <c r="R24" s="2">
        <f>R8/C16</f>
        <v>0.42364532133200039</v>
      </c>
      <c r="S24">
        <f>S8/C16</f>
        <v>0.58504944825777394</v>
      </c>
      <c r="T24">
        <f>T8/C16</f>
        <v>1.0639141300911534</v>
      </c>
      <c r="U24" s="24">
        <f t="shared" si="15"/>
        <v>1.0234770665485495</v>
      </c>
      <c r="V24" s="24">
        <f t="shared" si="16"/>
        <v>0.24016460098892412</v>
      </c>
      <c r="W24" s="2">
        <f t="shared" si="17"/>
        <v>0.93608586990884668</v>
      </c>
      <c r="X24">
        <f t="shared" si="18"/>
        <v>0.69244379503798337</v>
      </c>
      <c r="Y24">
        <f t="shared" si="19"/>
        <v>0.90751813454472119</v>
      </c>
      <c r="Z24" s="24">
        <f t="shared" si="19"/>
        <v>0.97652293345145047</v>
      </c>
      <c r="AA24" s="24">
        <f t="shared" si="20"/>
        <v>1.3724483271729659</v>
      </c>
      <c r="AB24" s="2">
        <f t="shared" si="21"/>
        <v>1.0721191039626314</v>
      </c>
      <c r="AC24">
        <f t="shared" si="22"/>
        <v>1.3900622691458027</v>
      </c>
      <c r="AD24">
        <f t="shared" si="23"/>
        <v>1.7045590463701146</v>
      </c>
      <c r="AE24" s="24">
        <f t="shared" si="23"/>
        <v>0.90106094920795854</v>
      </c>
      <c r="AF24" s="25">
        <f t="shared" si="24"/>
        <v>1.1322766131142692</v>
      </c>
    </row>
    <row r="25" spans="1:32" ht="17" thickBot="1" x14ac:dyDescent="0.25">
      <c r="B25" s="6" t="s">
        <v>92</v>
      </c>
      <c r="C25" s="4">
        <f t="shared" si="25"/>
        <v>0.74255947536437938</v>
      </c>
      <c r="D25" s="5">
        <f t="shared" si="2"/>
        <v>0.88462412165625726</v>
      </c>
      <c r="E25" s="5">
        <f t="shared" si="3"/>
        <v>1.0406199735373716</v>
      </c>
      <c r="F25" s="27">
        <f t="shared" si="3"/>
        <v>0.74492338956212711</v>
      </c>
      <c r="G25" s="28">
        <f t="shared" si="4"/>
        <v>1.0682359519578322</v>
      </c>
      <c r="H25" s="4">
        <f t="shared" si="5"/>
        <v>1.3351239730724764</v>
      </c>
      <c r="I25" s="5">
        <f t="shared" si="6"/>
        <v>0.84212862652607878</v>
      </c>
      <c r="J25" s="5">
        <f t="shared" si="7"/>
        <v>1.2336601677021559</v>
      </c>
      <c r="K25" s="27">
        <f t="shared" si="7"/>
        <v>1.2592084731873121</v>
      </c>
      <c r="L25" s="28">
        <f t="shared" si="8"/>
        <v>0.76542579693462864</v>
      </c>
      <c r="M25" s="4">
        <f t="shared" si="9"/>
        <v>1.8976594481405811</v>
      </c>
      <c r="N25" s="5">
        <f t="shared" si="10"/>
        <v>2.2793074526315165</v>
      </c>
      <c r="O25" s="5">
        <f t="shared" si="11"/>
        <v>2.5974740594082459</v>
      </c>
      <c r="P25" s="27">
        <f t="shared" si="11"/>
        <v>1.2071347760230873</v>
      </c>
      <c r="Q25" s="28">
        <f t="shared" si="12"/>
        <v>1.3518170006083774</v>
      </c>
      <c r="R25" s="4">
        <f t="shared" si="13"/>
        <v>0.7052404454987925</v>
      </c>
      <c r="S25" s="5">
        <f t="shared" si="14"/>
        <v>0.70800120842314052</v>
      </c>
      <c r="T25" s="5">
        <f t="shared" si="15"/>
        <v>0.58027647450846087</v>
      </c>
      <c r="U25" s="27">
        <f t="shared" si="15"/>
        <v>0.90990652187978893</v>
      </c>
      <c r="V25" s="27">
        <f t="shared" si="16"/>
        <v>0.33220171657061487</v>
      </c>
      <c r="W25" s="4">
        <f t="shared" si="17"/>
        <v>0.62305678934027431</v>
      </c>
      <c r="X25" s="5">
        <f t="shared" si="18"/>
        <v>0.50594097435473762</v>
      </c>
      <c r="Y25" s="5">
        <f t="shared" si="19"/>
        <v>0.95938002646262843</v>
      </c>
      <c r="Z25" s="27">
        <f t="shared" si="19"/>
        <v>0.98651113594785411</v>
      </c>
      <c r="AA25" s="27">
        <f t="shared" si="20"/>
        <v>1.013488864052146</v>
      </c>
      <c r="AB25" s="4">
        <f t="shared" si="21"/>
        <v>1.3081889755381635</v>
      </c>
      <c r="AC25" s="5">
        <f t="shared" si="22"/>
        <v>1.2826476255507893</v>
      </c>
      <c r="AD25" s="5">
        <f t="shared" si="23"/>
        <v>1.8004664958421155</v>
      </c>
      <c r="AE25" s="27">
        <f t="shared" si="23"/>
        <v>1.4198406185101369</v>
      </c>
      <c r="AF25" s="28">
        <f t="shared" si="24"/>
        <v>0.86139889130526037</v>
      </c>
    </row>
    <row r="28" spans="1:32" ht="48" thickBot="1" x14ac:dyDescent="0.6">
      <c r="A28" s="38" t="s">
        <v>109</v>
      </c>
    </row>
    <row r="29" spans="1:32" ht="17" thickBot="1" x14ac:dyDescent="0.25">
      <c r="B29" s="36" t="s">
        <v>1</v>
      </c>
      <c r="C29" s="6" t="s">
        <v>93</v>
      </c>
      <c r="D29" s="7" t="s">
        <v>2</v>
      </c>
      <c r="E29" s="7" t="s">
        <v>5</v>
      </c>
      <c r="F29" s="7" t="s">
        <v>67</v>
      </c>
      <c r="G29" s="8" t="s">
        <v>74</v>
      </c>
      <c r="H29" s="7" t="s">
        <v>7</v>
      </c>
      <c r="I29" s="7" t="s">
        <v>96</v>
      </c>
      <c r="J29" s="7" t="s">
        <v>8</v>
      </c>
      <c r="K29" s="7" t="s">
        <v>9</v>
      </c>
      <c r="L29" s="8" t="s">
        <v>97</v>
      </c>
      <c r="M29" s="6" t="s">
        <v>17</v>
      </c>
      <c r="N29" s="7" t="s">
        <v>138</v>
      </c>
      <c r="O29" s="7" t="s">
        <v>18</v>
      </c>
      <c r="P29" s="7" t="s">
        <v>100</v>
      </c>
      <c r="Q29" s="8" t="s">
        <v>101</v>
      </c>
      <c r="R29" s="6" t="s">
        <v>22</v>
      </c>
      <c r="S29" s="7" t="s">
        <v>23</v>
      </c>
      <c r="T29" s="7" t="s">
        <v>24</v>
      </c>
      <c r="U29" s="7" t="s">
        <v>102</v>
      </c>
      <c r="V29" s="8" t="s">
        <v>103</v>
      </c>
    </row>
    <row r="30" spans="1:32" ht="17" thickBot="1" x14ac:dyDescent="0.25">
      <c r="B30" s="2" t="s">
        <v>32</v>
      </c>
      <c r="C30" s="2">
        <v>5588.333333333333</v>
      </c>
      <c r="D30">
        <v>4476.666666666667</v>
      </c>
      <c r="E30">
        <v>4762</v>
      </c>
      <c r="F30">
        <v>5837.333333333333</v>
      </c>
      <c r="G30" s="3">
        <v>3906</v>
      </c>
      <c r="H30">
        <v>3226.3333333333335</v>
      </c>
      <c r="I30">
        <v>4222.333333333333</v>
      </c>
      <c r="J30">
        <v>5163.333333333333</v>
      </c>
      <c r="K30">
        <v>3613.3333333333335</v>
      </c>
      <c r="L30" s="3">
        <v>5799.666666666667</v>
      </c>
      <c r="M30" s="2">
        <v>4893.666666666667</v>
      </c>
      <c r="N30">
        <v>5335.333333333333</v>
      </c>
      <c r="O30">
        <v>4011</v>
      </c>
      <c r="P30">
        <v>4051</v>
      </c>
      <c r="Q30" s="3">
        <v>5400.333333333333</v>
      </c>
      <c r="R30" s="2">
        <v>8333.6666666666661</v>
      </c>
      <c r="S30">
        <v>6905.333333333333</v>
      </c>
      <c r="T30">
        <v>6872</v>
      </c>
      <c r="U30">
        <v>6809</v>
      </c>
      <c r="V30" s="3">
        <v>7247</v>
      </c>
    </row>
    <row r="31" spans="1:32" ht="17" thickBot="1" x14ac:dyDescent="0.25">
      <c r="B31" s="6" t="s">
        <v>87</v>
      </c>
      <c r="C31" s="2">
        <v>20185</v>
      </c>
      <c r="D31">
        <v>8389.6666666666661</v>
      </c>
      <c r="E31">
        <v>13318.333333333334</v>
      </c>
      <c r="F31">
        <v>14910.333333333334</v>
      </c>
      <c r="G31" s="3">
        <v>7477.333333333333</v>
      </c>
      <c r="H31">
        <v>15275</v>
      </c>
      <c r="I31">
        <v>7750.666666666667</v>
      </c>
      <c r="J31">
        <v>24269.666666666668</v>
      </c>
      <c r="K31">
        <v>9444.3333333333339</v>
      </c>
      <c r="L31" s="3">
        <v>18437.333333333332</v>
      </c>
      <c r="M31" s="2">
        <v>9393</v>
      </c>
      <c r="N31">
        <v>12070.333333333334</v>
      </c>
      <c r="O31">
        <v>13371.666666666666</v>
      </c>
      <c r="P31">
        <v>12738.333333333334</v>
      </c>
      <c r="Q31" s="3">
        <v>14092.333333333334</v>
      </c>
      <c r="R31" s="2">
        <v>34287.333333333336</v>
      </c>
      <c r="S31">
        <v>31976</v>
      </c>
      <c r="T31">
        <v>16511.666666666668</v>
      </c>
      <c r="U31">
        <v>26700.666666666668</v>
      </c>
      <c r="V31" s="3">
        <v>27934.333333333332</v>
      </c>
    </row>
    <row r="32" spans="1:32" ht="17" thickBot="1" x14ac:dyDescent="0.25">
      <c r="B32" s="6" t="s">
        <v>88</v>
      </c>
      <c r="C32" s="2">
        <v>31764</v>
      </c>
      <c r="D32">
        <v>16306</v>
      </c>
      <c r="E32">
        <v>14276.333333333334</v>
      </c>
      <c r="F32">
        <v>20684</v>
      </c>
      <c r="G32" s="3">
        <v>12396.666666666666</v>
      </c>
      <c r="H32">
        <v>15191</v>
      </c>
      <c r="I32">
        <v>15173</v>
      </c>
      <c r="J32">
        <v>27329.333333333332</v>
      </c>
      <c r="K32">
        <v>15446</v>
      </c>
      <c r="L32" s="3">
        <v>28502.333333333332</v>
      </c>
      <c r="M32" s="2">
        <v>15268.666666666666</v>
      </c>
      <c r="N32">
        <v>22221.666666666668</v>
      </c>
      <c r="O32">
        <v>13391</v>
      </c>
      <c r="P32">
        <v>15693</v>
      </c>
      <c r="Q32" s="3">
        <v>28407.666666666668</v>
      </c>
      <c r="R32" s="2">
        <v>27130</v>
      </c>
      <c r="S32">
        <v>28163.333333333332</v>
      </c>
      <c r="T32">
        <v>21477.333333333332</v>
      </c>
      <c r="U32">
        <v>21705.333333333332</v>
      </c>
      <c r="V32" s="3">
        <v>29221.333333333332</v>
      </c>
    </row>
    <row r="33" spans="2:22" ht="17" thickBot="1" x14ac:dyDescent="0.25">
      <c r="B33" s="6" t="s">
        <v>89</v>
      </c>
      <c r="C33" s="2">
        <v>23801.333333333332</v>
      </c>
      <c r="D33">
        <v>10494.666666666666</v>
      </c>
      <c r="E33">
        <v>13014.666666666666</v>
      </c>
      <c r="F33">
        <v>12753.333333333334</v>
      </c>
      <c r="G33" s="3">
        <v>7913.333333333333</v>
      </c>
      <c r="H33">
        <v>10761.333333333334</v>
      </c>
      <c r="I33">
        <v>8177</v>
      </c>
      <c r="J33">
        <v>17934.666666666668</v>
      </c>
      <c r="K33">
        <v>14603.666666666666</v>
      </c>
      <c r="L33" s="3">
        <v>23844.333333333332</v>
      </c>
      <c r="M33" s="2">
        <v>14935</v>
      </c>
      <c r="N33">
        <v>12030</v>
      </c>
      <c r="O33">
        <v>10653.333333333334</v>
      </c>
      <c r="P33">
        <v>8403.6666666666661</v>
      </c>
      <c r="Q33" s="3">
        <v>16642</v>
      </c>
      <c r="R33" s="2">
        <v>23937.333333333332</v>
      </c>
      <c r="S33">
        <v>27203</v>
      </c>
      <c r="T33">
        <v>26621</v>
      </c>
      <c r="U33">
        <v>28747.333333333332</v>
      </c>
      <c r="V33" s="3">
        <v>36360.333333333336</v>
      </c>
    </row>
    <row r="34" spans="2:22" ht="17" thickBot="1" x14ac:dyDescent="0.25">
      <c r="B34" s="6" t="s">
        <v>90</v>
      </c>
      <c r="C34" s="2">
        <v>3.6119892633462571</v>
      </c>
      <c r="D34">
        <v>1.8740878629932982</v>
      </c>
      <c r="E34">
        <v>2.7967940641187177</v>
      </c>
      <c r="F34">
        <v>2.5543056190041118</v>
      </c>
      <c r="G34" s="3">
        <v>1.9143198498037206</v>
      </c>
      <c r="H34">
        <v>4.7344767021386502</v>
      </c>
      <c r="I34">
        <v>1.8356359043183077</v>
      </c>
      <c r="J34">
        <v>4.7003873466752752</v>
      </c>
      <c r="K34">
        <v>2.6137453874538745</v>
      </c>
      <c r="L34" s="3">
        <v>3.1790332777745842</v>
      </c>
      <c r="M34" s="2">
        <v>1.9194196580614398</v>
      </c>
      <c r="N34">
        <v>2.2623391228289393</v>
      </c>
      <c r="O34">
        <v>3.3337488573090668</v>
      </c>
      <c r="P34">
        <v>3.1444910721632522</v>
      </c>
      <c r="Q34" s="3">
        <v>2.6095302759088947</v>
      </c>
      <c r="R34" s="2">
        <v>4.1143154273829055</v>
      </c>
      <c r="S34">
        <v>4.6306236725236536</v>
      </c>
      <c r="T34">
        <v>2.402745440434614</v>
      </c>
      <c r="U34">
        <v>3.921378567582122</v>
      </c>
      <c r="V34" s="3">
        <v>3.8546065038406696</v>
      </c>
    </row>
    <row r="35" spans="2:22" ht="17" thickBot="1" x14ac:dyDescent="0.25">
      <c r="B35" s="6" t="s">
        <v>91</v>
      </c>
      <c r="C35" s="2">
        <v>5.6839844915001496</v>
      </c>
      <c r="D35">
        <v>3.6424422933730454</v>
      </c>
      <c r="E35">
        <v>2.997970040599188</v>
      </c>
      <c r="F35">
        <v>3.5433988122430335</v>
      </c>
      <c r="G35" s="3">
        <v>3.1737497866530124</v>
      </c>
      <c r="H35">
        <v>4.7084409546440744</v>
      </c>
      <c r="I35">
        <v>3.5935106970869191</v>
      </c>
      <c r="J35">
        <v>5.2929632020658488</v>
      </c>
      <c r="K35">
        <v>4.2747232472324725</v>
      </c>
      <c r="L35" s="3">
        <v>4.9144778435542271</v>
      </c>
      <c r="M35" s="2">
        <v>3.1200871875212859</v>
      </c>
      <c r="N35">
        <v>4.165000624765713</v>
      </c>
      <c r="O35">
        <v>3.338568935427574</v>
      </c>
      <c r="P35">
        <v>3.8738583065909653</v>
      </c>
      <c r="Q35" s="3">
        <v>5.2603542991173393</v>
      </c>
      <c r="R35" s="2">
        <v>3.2554697812087521</v>
      </c>
      <c r="S35">
        <v>4.0784900559953661</v>
      </c>
      <c r="T35">
        <v>3.1253395421032204</v>
      </c>
      <c r="U35">
        <v>3.1877417143976108</v>
      </c>
      <c r="V35" s="3">
        <v>4.0321972310381309</v>
      </c>
    </row>
    <row r="36" spans="2:22" ht="17" thickBot="1" x14ac:dyDescent="0.25">
      <c r="B36" s="6" t="s">
        <v>92</v>
      </c>
      <c r="C36" s="4">
        <v>4.2591112436623915</v>
      </c>
      <c r="D36" s="5">
        <v>2.344303797468354</v>
      </c>
      <c r="E36" s="5">
        <v>2.73302533949321</v>
      </c>
      <c r="F36" s="5">
        <v>2.1847875742348108</v>
      </c>
      <c r="G36" s="41">
        <v>2.0259429936849291</v>
      </c>
      <c r="H36" s="5">
        <v>3.3354685401384443</v>
      </c>
      <c r="I36" s="5">
        <v>1.9366069313965424</v>
      </c>
      <c r="J36" s="5">
        <v>3.4734667527437062</v>
      </c>
      <c r="K36" s="5">
        <v>4.0416051660516601</v>
      </c>
      <c r="L36" s="41">
        <v>4.1113282372550142</v>
      </c>
      <c r="M36" s="4">
        <v>3.0519038212655811</v>
      </c>
      <c r="N36" s="5">
        <v>2.2547794577033615</v>
      </c>
      <c r="O36" s="5">
        <v>2.6560292528878917</v>
      </c>
      <c r="P36" s="5">
        <v>2.0744672097424504</v>
      </c>
      <c r="Q36" s="41">
        <v>3.0816616258255665</v>
      </c>
      <c r="R36" s="4">
        <v>2.8723651053957844</v>
      </c>
      <c r="S36" s="5">
        <v>3.939418806719444</v>
      </c>
      <c r="T36" s="5">
        <v>3.8738358556461003</v>
      </c>
      <c r="U36" s="5">
        <v>4.2219611298771236</v>
      </c>
      <c r="V36" s="41">
        <v>5.0172945126719108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B2F5-63C6-6245-A0D8-BD64C92260EB}">
  <dimension ref="A1:AL125"/>
  <sheetViews>
    <sheetView topLeftCell="L1" zoomScale="75" zoomScaleNormal="55" workbookViewId="0">
      <selection activeCell="Z82" activeCellId="19" sqref="S46 Z46:AB46 S50 Z50:AB50 S54 Z54:AB54 S58 Z58:AB58 S62 Z62:AB62 S66 Z66:AB66 S70 Z70:AB70 S74 Z74:AB74 S78 Z78:AB78 S82 Z82:AB82"/>
    </sheetView>
  </sheetViews>
  <sheetFormatPr baseColWidth="10" defaultColWidth="11" defaultRowHeight="16" x14ac:dyDescent="0.2"/>
  <cols>
    <col min="1" max="1" width="7.83203125" bestFit="1" customWidth="1"/>
    <col min="2" max="2" width="8.6640625" bestFit="1" customWidth="1"/>
    <col min="3" max="3" width="14.33203125" bestFit="1" customWidth="1"/>
    <col min="4" max="4" width="12.1640625" bestFit="1" customWidth="1"/>
    <col min="5" max="6" width="15.83203125" bestFit="1" customWidth="1"/>
    <col min="7" max="7" width="16.33203125" bestFit="1" customWidth="1"/>
    <col min="8" max="9" width="13.6640625" bestFit="1" customWidth="1"/>
    <col min="10" max="10" width="14" bestFit="1" customWidth="1"/>
    <col min="11" max="13" width="25" bestFit="1" customWidth="1"/>
    <col min="16" max="16" width="12" bestFit="1" customWidth="1"/>
    <col min="17" max="17" width="8.6640625" bestFit="1" customWidth="1"/>
    <col min="18" max="18" width="14" bestFit="1" customWidth="1"/>
    <col min="19" max="19" width="9.33203125" bestFit="1" customWidth="1"/>
    <col min="20" max="21" width="15.5" bestFit="1" customWidth="1"/>
    <col min="22" max="22" width="15.83203125" bestFit="1" customWidth="1"/>
    <col min="23" max="24" width="13.33203125" bestFit="1" customWidth="1"/>
    <col min="25" max="25" width="13.6640625" bestFit="1" customWidth="1"/>
    <col min="26" max="28" width="24.33203125" bestFit="1" customWidth="1"/>
  </cols>
  <sheetData>
    <row r="1" spans="1:38" ht="47" x14ac:dyDescent="0.55000000000000004">
      <c r="A1" s="39" t="s">
        <v>107</v>
      </c>
      <c r="P1" s="39" t="s">
        <v>109</v>
      </c>
      <c r="AD1" t="s">
        <v>43</v>
      </c>
      <c r="AE1" t="s">
        <v>44</v>
      </c>
      <c r="AF1" t="s">
        <v>45</v>
      </c>
      <c r="AG1" t="s">
        <v>111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</row>
    <row r="2" spans="1:38" ht="35" thickBot="1" x14ac:dyDescent="0.25">
      <c r="A2" s="9" t="s">
        <v>43</v>
      </c>
      <c r="B2" s="9" t="s">
        <v>44</v>
      </c>
      <c r="C2" s="9" t="s">
        <v>45</v>
      </c>
      <c r="D2" s="10" t="s">
        <v>46</v>
      </c>
      <c r="E2" s="9" t="s">
        <v>47</v>
      </c>
      <c r="F2" s="9" t="s">
        <v>48</v>
      </c>
      <c r="G2" s="9" t="s">
        <v>49</v>
      </c>
      <c r="H2" s="9" t="s">
        <v>50</v>
      </c>
      <c r="I2" s="9" t="s">
        <v>51</v>
      </c>
      <c r="J2" s="9" t="s">
        <v>52</v>
      </c>
      <c r="K2" s="9" t="s">
        <v>53</v>
      </c>
      <c r="L2" s="9" t="s">
        <v>54</v>
      </c>
      <c r="M2" s="9" t="s">
        <v>55</v>
      </c>
      <c r="P2" s="9" t="s">
        <v>43</v>
      </c>
      <c r="Q2" s="9" t="s">
        <v>44</v>
      </c>
      <c r="R2" s="9" t="s">
        <v>45</v>
      </c>
      <c r="S2" s="10" t="s">
        <v>46</v>
      </c>
      <c r="T2" s="9" t="s">
        <v>47</v>
      </c>
      <c r="U2" s="9" t="s">
        <v>48</v>
      </c>
      <c r="V2" s="9" t="s">
        <v>49</v>
      </c>
      <c r="W2" s="9" t="s">
        <v>50</v>
      </c>
      <c r="X2" s="9" t="s">
        <v>51</v>
      </c>
      <c r="Y2" s="9" t="s">
        <v>52</v>
      </c>
      <c r="Z2" s="9" t="s">
        <v>53</v>
      </c>
      <c r="AA2" s="9" t="s">
        <v>54</v>
      </c>
      <c r="AB2" s="9" t="s">
        <v>55</v>
      </c>
    </row>
    <row r="3" spans="1:38" x14ac:dyDescent="0.2">
      <c r="A3" s="11" t="s">
        <v>56</v>
      </c>
      <c r="B3" s="12">
        <v>8</v>
      </c>
      <c r="C3" s="12">
        <v>39484</v>
      </c>
      <c r="D3" s="13">
        <f>C3-E3-F3-G3-H3-I3-J3</f>
        <v>4433</v>
      </c>
      <c r="E3" s="12">
        <v>679</v>
      </c>
      <c r="F3" s="12">
        <v>227</v>
      </c>
      <c r="G3" s="12">
        <v>451</v>
      </c>
      <c r="H3" s="12">
        <v>13363</v>
      </c>
      <c r="I3" s="12">
        <v>9792</v>
      </c>
      <c r="J3" s="12">
        <v>10539</v>
      </c>
      <c r="K3" s="14">
        <f t="shared" ref="K3:M5" si="0">SUM(E3,H3)</f>
        <v>14042</v>
      </c>
      <c r="L3" s="14">
        <f t="shared" si="0"/>
        <v>10019</v>
      </c>
      <c r="M3" s="14">
        <f t="shared" si="0"/>
        <v>10990</v>
      </c>
      <c r="P3" s="11" t="s">
        <v>117</v>
      </c>
      <c r="Q3" s="12">
        <v>10</v>
      </c>
      <c r="R3" s="12">
        <v>49109</v>
      </c>
      <c r="S3" s="13">
        <f>R3-T3-U3-V3-W3-X3-Y3</f>
        <v>6584</v>
      </c>
      <c r="T3" s="12">
        <v>4</v>
      </c>
      <c r="U3" s="12">
        <v>27</v>
      </c>
      <c r="V3" s="12">
        <v>103</v>
      </c>
      <c r="W3" s="12">
        <v>10555</v>
      </c>
      <c r="X3" s="12">
        <v>16511</v>
      </c>
      <c r="Y3" s="12">
        <v>15325</v>
      </c>
      <c r="Z3" s="14">
        <f t="shared" ref="Z3:AB5" si="1">SUM(T3,W3)</f>
        <v>10559</v>
      </c>
      <c r="AA3" s="14">
        <f t="shared" si="1"/>
        <v>16538</v>
      </c>
      <c r="AB3" s="14">
        <f t="shared" si="1"/>
        <v>15428</v>
      </c>
    </row>
    <row r="4" spans="1:38" x14ac:dyDescent="0.2">
      <c r="A4" s="15" t="s">
        <v>56</v>
      </c>
      <c r="B4" s="9">
        <v>10</v>
      </c>
      <c r="C4" s="9">
        <v>30735</v>
      </c>
      <c r="D4" s="16">
        <f>C4-E4-F4-G4-H4-I4-J4</f>
        <v>4858</v>
      </c>
      <c r="E4" s="9">
        <v>394</v>
      </c>
      <c r="F4" s="9">
        <v>114</v>
      </c>
      <c r="G4" s="9">
        <v>331</v>
      </c>
      <c r="H4" s="9">
        <v>9679</v>
      </c>
      <c r="I4" s="9">
        <v>6263</v>
      </c>
      <c r="J4" s="9">
        <v>9096</v>
      </c>
      <c r="K4" s="17">
        <f t="shared" si="0"/>
        <v>10073</v>
      </c>
      <c r="L4" s="17">
        <f t="shared" si="0"/>
        <v>6377</v>
      </c>
      <c r="M4" s="17">
        <f t="shared" si="0"/>
        <v>9427</v>
      </c>
      <c r="P4" s="15" t="s">
        <v>117</v>
      </c>
      <c r="Q4" s="9">
        <v>17</v>
      </c>
      <c r="R4" s="9">
        <v>26384</v>
      </c>
      <c r="S4" s="16">
        <f>R4-T4-U4-V4-W4-X4-Y4</f>
        <v>3474</v>
      </c>
      <c r="T4" s="9">
        <v>4</v>
      </c>
      <c r="U4" s="9">
        <v>12</v>
      </c>
      <c r="V4" s="9">
        <v>38</v>
      </c>
      <c r="W4" s="9">
        <v>4887</v>
      </c>
      <c r="X4" s="9">
        <v>8921</v>
      </c>
      <c r="Y4" s="9">
        <v>9048</v>
      </c>
      <c r="Z4" s="17">
        <f t="shared" si="1"/>
        <v>4891</v>
      </c>
      <c r="AA4" s="17">
        <f t="shared" si="1"/>
        <v>8933</v>
      </c>
      <c r="AB4" s="17">
        <f t="shared" si="1"/>
        <v>9086</v>
      </c>
    </row>
    <row r="5" spans="1:38" ht="17" thickBot="1" x14ac:dyDescent="0.25">
      <c r="A5" s="18" t="s">
        <v>56</v>
      </c>
      <c r="B5" s="19">
        <v>12</v>
      </c>
      <c r="C5" s="19">
        <v>14981</v>
      </c>
      <c r="D5" s="20">
        <f>C5-E5-F5-G5-H5-I5-J5</f>
        <v>3393</v>
      </c>
      <c r="E5" s="19">
        <v>165</v>
      </c>
      <c r="F5" s="19">
        <v>46</v>
      </c>
      <c r="G5" s="19">
        <v>107</v>
      </c>
      <c r="H5" s="19">
        <v>4458</v>
      </c>
      <c r="I5" s="19">
        <v>2659</v>
      </c>
      <c r="J5" s="19">
        <v>4153</v>
      </c>
      <c r="K5" s="21">
        <f t="shared" si="0"/>
        <v>4623</v>
      </c>
      <c r="L5" s="21">
        <f t="shared" si="0"/>
        <v>2705</v>
      </c>
      <c r="M5" s="21">
        <f t="shared" si="0"/>
        <v>4260</v>
      </c>
      <c r="P5" s="18" t="s">
        <v>117</v>
      </c>
      <c r="Q5" s="19">
        <v>13</v>
      </c>
      <c r="R5" s="19">
        <v>57978</v>
      </c>
      <c r="S5" s="20">
        <f>R5-T5-U5-V5-W5-X5-Y5</f>
        <v>4623</v>
      </c>
      <c r="T5" s="19">
        <v>17</v>
      </c>
      <c r="U5" s="19">
        <v>29</v>
      </c>
      <c r="V5" s="19">
        <v>143</v>
      </c>
      <c r="W5" s="19">
        <v>12712</v>
      </c>
      <c r="X5" s="19">
        <v>20306</v>
      </c>
      <c r="Y5" s="19">
        <v>20148</v>
      </c>
      <c r="Z5" s="21">
        <f t="shared" si="1"/>
        <v>12729</v>
      </c>
      <c r="AA5" s="21">
        <f t="shared" si="1"/>
        <v>20335</v>
      </c>
      <c r="AB5" s="21">
        <f t="shared" si="1"/>
        <v>20291</v>
      </c>
    </row>
    <row r="6" spans="1:38" ht="17" thickBot="1" x14ac:dyDescent="0.25">
      <c r="A6" s="9"/>
      <c r="B6" s="9" t="s">
        <v>57</v>
      </c>
      <c r="C6" s="9">
        <f t="shared" ref="C6:M6" si="2">AVERAGE(C3:C5)</f>
        <v>28400</v>
      </c>
      <c r="D6" s="9">
        <f t="shared" si="2"/>
        <v>4228</v>
      </c>
      <c r="E6" s="9">
        <f t="shared" si="2"/>
        <v>412.66666666666669</v>
      </c>
      <c r="F6" s="9">
        <f t="shared" si="2"/>
        <v>129</v>
      </c>
      <c r="G6" s="9">
        <f t="shared" si="2"/>
        <v>296.33333333333331</v>
      </c>
      <c r="H6" s="9">
        <f t="shared" si="2"/>
        <v>9166.6666666666661</v>
      </c>
      <c r="I6" s="9">
        <f t="shared" si="2"/>
        <v>6238</v>
      </c>
      <c r="J6" s="9">
        <f t="shared" si="2"/>
        <v>7929.333333333333</v>
      </c>
      <c r="K6" s="9">
        <f t="shared" si="2"/>
        <v>9579.3333333333339</v>
      </c>
      <c r="L6" s="9">
        <f t="shared" si="2"/>
        <v>6367</v>
      </c>
      <c r="M6" s="9">
        <f t="shared" si="2"/>
        <v>8225.6666666666661</v>
      </c>
      <c r="P6" s="9"/>
      <c r="Q6" s="9" t="s">
        <v>57</v>
      </c>
      <c r="R6" s="9">
        <f>AVERAGE(R3:R5)</f>
        <v>44490.333333333336</v>
      </c>
      <c r="S6" s="9">
        <f t="shared" ref="S6:AB6" si="3">AVERAGE(S3:S5)</f>
        <v>4893.666666666667</v>
      </c>
      <c r="T6" s="9">
        <f t="shared" si="3"/>
        <v>8.3333333333333339</v>
      </c>
      <c r="U6" s="9">
        <f t="shared" si="3"/>
        <v>22.666666666666668</v>
      </c>
      <c r="V6" s="9">
        <f t="shared" si="3"/>
        <v>94.666666666666671</v>
      </c>
      <c r="W6" s="9">
        <f t="shared" si="3"/>
        <v>9384.6666666666661</v>
      </c>
      <c r="X6" s="9">
        <f t="shared" si="3"/>
        <v>15246</v>
      </c>
      <c r="Y6" s="9">
        <f t="shared" si="3"/>
        <v>14840.333333333334</v>
      </c>
      <c r="Z6" s="9">
        <f t="shared" si="3"/>
        <v>9393</v>
      </c>
      <c r="AA6" s="9">
        <f t="shared" si="3"/>
        <v>15268.666666666666</v>
      </c>
      <c r="AB6" s="9">
        <f t="shared" si="3"/>
        <v>14935</v>
      </c>
    </row>
    <row r="7" spans="1:38" x14ac:dyDescent="0.2">
      <c r="A7" s="11" t="s">
        <v>58</v>
      </c>
      <c r="B7" s="12">
        <v>8</v>
      </c>
      <c r="C7" s="12">
        <v>40989</v>
      </c>
      <c r="D7" s="13">
        <f>C7-E7-F7-G7-H7-I7-J7</f>
        <v>4862</v>
      </c>
      <c r="E7" s="12">
        <v>1186</v>
      </c>
      <c r="F7" s="12">
        <v>213</v>
      </c>
      <c r="G7" s="12">
        <v>276</v>
      </c>
      <c r="H7" s="12">
        <v>16465</v>
      </c>
      <c r="I7" s="12">
        <v>9030</v>
      </c>
      <c r="J7" s="12">
        <v>8957</v>
      </c>
      <c r="K7" s="14">
        <f t="shared" ref="K7:M9" si="4">SUM(E7,H7)</f>
        <v>17651</v>
      </c>
      <c r="L7" s="14">
        <f t="shared" si="4"/>
        <v>9243</v>
      </c>
      <c r="M7" s="14">
        <f t="shared" si="4"/>
        <v>9233</v>
      </c>
      <c r="P7" s="11" t="s">
        <v>119</v>
      </c>
      <c r="Q7" s="12">
        <v>10</v>
      </c>
      <c r="R7" s="12">
        <v>38349</v>
      </c>
      <c r="S7" s="13">
        <f>R7-T7-U7-V7-W7-X7-Y7</f>
        <v>4998</v>
      </c>
      <c r="T7" s="12">
        <v>0</v>
      </c>
      <c r="U7" s="12">
        <v>11</v>
      </c>
      <c r="V7" s="12">
        <v>10</v>
      </c>
      <c r="W7" s="12">
        <v>8728</v>
      </c>
      <c r="X7" s="12">
        <v>16099</v>
      </c>
      <c r="Y7" s="12">
        <v>8503</v>
      </c>
      <c r="Z7" s="14">
        <f t="shared" ref="Z7:AB9" si="5">SUM(T7,W7)</f>
        <v>8728</v>
      </c>
      <c r="AA7" s="14">
        <f t="shared" si="5"/>
        <v>16110</v>
      </c>
      <c r="AB7" s="14">
        <f t="shared" si="5"/>
        <v>8513</v>
      </c>
    </row>
    <row r="8" spans="1:38" x14ac:dyDescent="0.2">
      <c r="A8" s="15" t="s">
        <v>58</v>
      </c>
      <c r="B8" s="9">
        <v>6</v>
      </c>
      <c r="C8" s="9">
        <v>12761</v>
      </c>
      <c r="D8" s="16">
        <f>C8-E8-F8-G8-H8-I8-J8</f>
        <v>2529</v>
      </c>
      <c r="E8" s="9">
        <v>404</v>
      </c>
      <c r="F8" s="9">
        <v>82</v>
      </c>
      <c r="G8" s="9">
        <v>73</v>
      </c>
      <c r="H8" s="9">
        <v>4639</v>
      </c>
      <c r="I8" s="9">
        <v>2704</v>
      </c>
      <c r="J8" s="9">
        <v>2330</v>
      </c>
      <c r="K8" s="17">
        <f t="shared" si="4"/>
        <v>5043</v>
      </c>
      <c r="L8" s="17">
        <f t="shared" si="4"/>
        <v>2786</v>
      </c>
      <c r="M8" s="17">
        <f t="shared" si="4"/>
        <v>2403</v>
      </c>
      <c r="P8" s="15" t="s">
        <v>119</v>
      </c>
      <c r="Q8" s="9">
        <v>12</v>
      </c>
      <c r="R8" s="9">
        <v>16345</v>
      </c>
      <c r="S8" s="16">
        <f>R8-T8-U8-V8-W8-X8-Y8</f>
        <v>3688</v>
      </c>
      <c r="T8" s="9">
        <v>0</v>
      </c>
      <c r="U8" s="9">
        <v>2</v>
      </c>
      <c r="V8" s="9">
        <v>7</v>
      </c>
      <c r="W8" s="9">
        <v>3120</v>
      </c>
      <c r="X8" s="9">
        <v>5917</v>
      </c>
      <c r="Y8" s="9">
        <v>3611</v>
      </c>
      <c r="Z8" s="17">
        <f t="shared" si="5"/>
        <v>3120</v>
      </c>
      <c r="AA8" s="17">
        <f t="shared" si="5"/>
        <v>5919</v>
      </c>
      <c r="AB8" s="17">
        <f t="shared" si="5"/>
        <v>3618</v>
      </c>
    </row>
    <row r="9" spans="1:38" ht="17" thickBot="1" x14ac:dyDescent="0.25">
      <c r="A9" s="18" t="s">
        <v>58</v>
      </c>
      <c r="B9" s="19">
        <v>10</v>
      </c>
      <c r="C9" s="19">
        <v>53940</v>
      </c>
      <c r="D9" s="20">
        <f>C9-E9-F9-G9-H9-I9-J9</f>
        <v>4687</v>
      </c>
      <c r="E9" s="19">
        <v>1747</v>
      </c>
      <c r="F9" s="19">
        <v>307</v>
      </c>
      <c r="G9" s="19">
        <v>419</v>
      </c>
      <c r="H9" s="19">
        <v>22463</v>
      </c>
      <c r="I9" s="19">
        <v>12782</v>
      </c>
      <c r="J9" s="19">
        <v>11535</v>
      </c>
      <c r="K9" s="21">
        <f t="shared" si="4"/>
        <v>24210</v>
      </c>
      <c r="L9" s="21">
        <f t="shared" si="4"/>
        <v>13089</v>
      </c>
      <c r="M9" s="21">
        <f t="shared" si="4"/>
        <v>11954</v>
      </c>
      <c r="P9" s="18" t="s">
        <v>119</v>
      </c>
      <c r="Q9" s="19">
        <v>7</v>
      </c>
      <c r="R9" s="19">
        <v>100278</v>
      </c>
      <c r="S9" s="20">
        <f>R9-T9-U9-V9-W9-X9-Y9</f>
        <v>7320</v>
      </c>
      <c r="T9" s="19">
        <v>9</v>
      </c>
      <c r="U9" s="19">
        <v>46</v>
      </c>
      <c r="V9" s="19">
        <v>30</v>
      </c>
      <c r="W9" s="19">
        <v>24354</v>
      </c>
      <c r="X9" s="19">
        <v>44590</v>
      </c>
      <c r="Y9" s="19">
        <v>23929</v>
      </c>
      <c r="Z9" s="21">
        <f t="shared" si="5"/>
        <v>24363</v>
      </c>
      <c r="AA9" s="21">
        <f t="shared" si="5"/>
        <v>44636</v>
      </c>
      <c r="AB9" s="21">
        <f t="shared" si="5"/>
        <v>23959</v>
      </c>
    </row>
    <row r="10" spans="1:38" ht="17" thickBot="1" x14ac:dyDescent="0.25">
      <c r="A10" s="9"/>
      <c r="B10" s="9" t="s">
        <v>57</v>
      </c>
      <c r="C10" s="9">
        <f t="shared" ref="C10:M10" si="6">AVERAGE(C7:C9)</f>
        <v>35896.666666666664</v>
      </c>
      <c r="D10" s="9">
        <f t="shared" si="6"/>
        <v>4026</v>
      </c>
      <c r="E10" s="9">
        <f t="shared" si="6"/>
        <v>1112.3333333333333</v>
      </c>
      <c r="F10" s="9">
        <f t="shared" si="6"/>
        <v>200.66666666666666</v>
      </c>
      <c r="G10" s="9">
        <f t="shared" si="6"/>
        <v>256</v>
      </c>
      <c r="H10" s="9">
        <f t="shared" si="6"/>
        <v>14522.333333333334</v>
      </c>
      <c r="I10" s="9">
        <f t="shared" si="6"/>
        <v>8172</v>
      </c>
      <c r="J10" s="9">
        <f t="shared" si="6"/>
        <v>7607.333333333333</v>
      </c>
      <c r="K10" s="9">
        <f t="shared" si="6"/>
        <v>15634.666666666666</v>
      </c>
      <c r="L10" s="9">
        <f t="shared" si="6"/>
        <v>8372.6666666666661</v>
      </c>
      <c r="M10" s="9">
        <f t="shared" si="6"/>
        <v>7863.333333333333</v>
      </c>
      <c r="P10" s="9"/>
      <c r="Q10" s="9" t="s">
        <v>57</v>
      </c>
      <c r="R10" s="9">
        <f t="shared" ref="R10:AB10" si="7">AVERAGE(R7:R9)</f>
        <v>51657.333333333336</v>
      </c>
      <c r="S10" s="9">
        <f t="shared" si="7"/>
        <v>5335.333333333333</v>
      </c>
      <c r="T10" s="9">
        <f t="shared" si="7"/>
        <v>3</v>
      </c>
      <c r="U10" s="9">
        <f t="shared" si="7"/>
        <v>19.666666666666668</v>
      </c>
      <c r="V10" s="9">
        <f t="shared" si="7"/>
        <v>15.666666666666666</v>
      </c>
      <c r="W10" s="9">
        <f t="shared" si="7"/>
        <v>12067.333333333334</v>
      </c>
      <c r="X10" s="9">
        <f t="shared" si="7"/>
        <v>22202</v>
      </c>
      <c r="Y10" s="9">
        <f t="shared" si="7"/>
        <v>12014.333333333334</v>
      </c>
      <c r="Z10" s="9">
        <f t="shared" si="7"/>
        <v>12070.333333333334</v>
      </c>
      <c r="AA10" s="9">
        <f t="shared" si="7"/>
        <v>22221.666666666668</v>
      </c>
      <c r="AB10" s="9">
        <f t="shared" si="7"/>
        <v>12030</v>
      </c>
    </row>
    <row r="11" spans="1:38" x14ac:dyDescent="0.2">
      <c r="A11" s="11" t="s">
        <v>59</v>
      </c>
      <c r="B11" s="12">
        <v>8</v>
      </c>
      <c r="C11" s="12">
        <v>38106</v>
      </c>
      <c r="D11" s="13">
        <f>C11-E11-F11-G11-H11-I11-J11</f>
        <v>3685</v>
      </c>
      <c r="E11" s="12">
        <v>867</v>
      </c>
      <c r="F11" s="12">
        <v>274</v>
      </c>
      <c r="G11" s="12">
        <v>125</v>
      </c>
      <c r="H11" s="12">
        <v>16331</v>
      </c>
      <c r="I11" s="12">
        <v>11859</v>
      </c>
      <c r="J11" s="12">
        <v>4965</v>
      </c>
      <c r="K11" s="14">
        <f t="shared" ref="K11:M13" si="8">SUM(E11,H11)</f>
        <v>17198</v>
      </c>
      <c r="L11" s="14">
        <f t="shared" si="8"/>
        <v>12133</v>
      </c>
      <c r="M11" s="14">
        <f t="shared" si="8"/>
        <v>5090</v>
      </c>
      <c r="P11" s="11" t="s">
        <v>121</v>
      </c>
      <c r="Q11" s="12">
        <v>10</v>
      </c>
      <c r="R11" s="12">
        <v>47591</v>
      </c>
      <c r="S11" s="13">
        <f>R11-T11-U11-V11-W11-X11-Y11</f>
        <v>4412</v>
      </c>
      <c r="T11" s="12">
        <v>19</v>
      </c>
      <c r="U11" s="12">
        <v>12</v>
      </c>
      <c r="V11" s="12">
        <v>97</v>
      </c>
      <c r="W11" s="12">
        <v>15687</v>
      </c>
      <c r="X11" s="12">
        <v>15365</v>
      </c>
      <c r="Y11" s="12">
        <v>11999</v>
      </c>
      <c r="Z11" s="14">
        <f t="shared" ref="Z11:AB13" si="9">SUM(T11,W11)</f>
        <v>15706</v>
      </c>
      <c r="AA11" s="14">
        <f t="shared" si="9"/>
        <v>15377</v>
      </c>
      <c r="AB11" s="14">
        <f t="shared" si="9"/>
        <v>12096</v>
      </c>
    </row>
    <row r="12" spans="1:38" x14ac:dyDescent="0.2">
      <c r="A12" s="15" t="s">
        <v>59</v>
      </c>
      <c r="B12" s="9">
        <v>12</v>
      </c>
      <c r="C12" s="9">
        <v>46463</v>
      </c>
      <c r="D12" s="16">
        <f>C12-E12-F12-G12-H12-I12-J12</f>
        <v>2845</v>
      </c>
      <c r="E12" s="9">
        <v>1059</v>
      </c>
      <c r="F12" s="9">
        <v>387</v>
      </c>
      <c r="G12" s="9">
        <v>166</v>
      </c>
      <c r="H12" s="9">
        <v>19869</v>
      </c>
      <c r="I12" s="9">
        <v>15569</v>
      </c>
      <c r="J12" s="9">
        <v>6568</v>
      </c>
      <c r="K12" s="17">
        <f t="shared" si="8"/>
        <v>20928</v>
      </c>
      <c r="L12" s="17">
        <f t="shared" si="8"/>
        <v>15956</v>
      </c>
      <c r="M12" s="17">
        <f t="shared" si="8"/>
        <v>6734</v>
      </c>
      <c r="P12" s="15" t="s">
        <v>121</v>
      </c>
      <c r="Q12" s="9">
        <v>7</v>
      </c>
      <c r="R12" s="9">
        <v>44470</v>
      </c>
      <c r="S12" s="16">
        <f>R12-T12-U12-V12-W12-X12-Y12</f>
        <v>3819</v>
      </c>
      <c r="T12" s="9">
        <v>22</v>
      </c>
      <c r="U12" s="9">
        <v>23</v>
      </c>
      <c r="V12" s="9">
        <v>88</v>
      </c>
      <c r="W12" s="9">
        <v>13968</v>
      </c>
      <c r="X12" s="9">
        <v>13307</v>
      </c>
      <c r="Y12" s="9">
        <v>13243</v>
      </c>
      <c r="Z12" s="17">
        <f t="shared" si="9"/>
        <v>13990</v>
      </c>
      <c r="AA12" s="17">
        <f t="shared" si="9"/>
        <v>13330</v>
      </c>
      <c r="AB12" s="17">
        <f t="shared" si="9"/>
        <v>13331</v>
      </c>
    </row>
    <row r="13" spans="1:38" ht="17" thickBot="1" x14ac:dyDescent="0.25">
      <c r="A13" s="18" t="s">
        <v>59</v>
      </c>
      <c r="B13" s="19">
        <v>6</v>
      </c>
      <c r="C13" s="19">
        <v>15586</v>
      </c>
      <c r="D13" s="20">
        <f>C13-E13-F13-G13-H13-I13-J13</f>
        <v>2097</v>
      </c>
      <c r="E13" s="19">
        <v>429</v>
      </c>
      <c r="F13" s="19">
        <v>124</v>
      </c>
      <c r="G13" s="19">
        <v>61</v>
      </c>
      <c r="H13" s="19">
        <v>6537</v>
      </c>
      <c r="I13" s="19">
        <v>4413</v>
      </c>
      <c r="J13" s="19">
        <v>1925</v>
      </c>
      <c r="K13" s="21">
        <f t="shared" si="8"/>
        <v>6966</v>
      </c>
      <c r="L13" s="21">
        <f t="shared" si="8"/>
        <v>4537</v>
      </c>
      <c r="M13" s="21">
        <f t="shared" si="8"/>
        <v>1986</v>
      </c>
      <c r="P13" s="18" t="s">
        <v>121</v>
      </c>
      <c r="Q13" s="19">
        <v>13</v>
      </c>
      <c r="R13" s="19">
        <v>32220</v>
      </c>
      <c r="S13" s="20">
        <f>R13-T13-U13-V13-W13-X13-Y13</f>
        <v>3802</v>
      </c>
      <c r="T13" s="19">
        <v>9</v>
      </c>
      <c r="U13" s="19">
        <v>8</v>
      </c>
      <c r="V13" s="19">
        <v>30</v>
      </c>
      <c r="W13" s="19">
        <v>10410</v>
      </c>
      <c r="X13" s="19">
        <v>11458</v>
      </c>
      <c r="Y13" s="19">
        <v>6503</v>
      </c>
      <c r="Z13" s="21">
        <f t="shared" si="9"/>
        <v>10419</v>
      </c>
      <c r="AA13" s="21">
        <f t="shared" si="9"/>
        <v>11466</v>
      </c>
      <c r="AB13" s="21">
        <f t="shared" si="9"/>
        <v>6533</v>
      </c>
    </row>
    <row r="14" spans="1:38" ht="17" thickBot="1" x14ac:dyDescent="0.25">
      <c r="A14" s="9"/>
      <c r="B14" s="9" t="s">
        <v>57</v>
      </c>
      <c r="C14" s="9">
        <f t="shared" ref="C14:M14" si="10">AVERAGE(C11:C13)</f>
        <v>33385</v>
      </c>
      <c r="D14" s="9">
        <f t="shared" si="10"/>
        <v>2875.6666666666665</v>
      </c>
      <c r="E14" s="9">
        <f t="shared" si="10"/>
        <v>785</v>
      </c>
      <c r="F14" s="9">
        <f t="shared" si="10"/>
        <v>261.66666666666669</v>
      </c>
      <c r="G14" s="9">
        <f t="shared" si="10"/>
        <v>117.33333333333333</v>
      </c>
      <c r="H14" s="9">
        <f t="shared" si="10"/>
        <v>14245.666666666666</v>
      </c>
      <c r="I14" s="9">
        <f t="shared" si="10"/>
        <v>10613.666666666666</v>
      </c>
      <c r="J14" s="9">
        <f t="shared" si="10"/>
        <v>4486</v>
      </c>
      <c r="K14" s="9">
        <f t="shared" si="10"/>
        <v>15030.666666666666</v>
      </c>
      <c r="L14" s="9">
        <f t="shared" si="10"/>
        <v>10875.333333333334</v>
      </c>
      <c r="M14" s="9">
        <f t="shared" si="10"/>
        <v>4603.333333333333</v>
      </c>
      <c r="P14" s="9"/>
      <c r="Q14" s="9" t="s">
        <v>57</v>
      </c>
      <c r="R14" s="9">
        <f t="shared" ref="R14:AB14" si="11">AVERAGE(R11:R13)</f>
        <v>41427</v>
      </c>
      <c r="S14" s="9">
        <f t="shared" si="11"/>
        <v>4011</v>
      </c>
      <c r="T14" s="9">
        <f t="shared" si="11"/>
        <v>16.666666666666668</v>
      </c>
      <c r="U14" s="9">
        <f t="shared" si="11"/>
        <v>14.333333333333334</v>
      </c>
      <c r="V14" s="9">
        <f t="shared" si="11"/>
        <v>71.666666666666671</v>
      </c>
      <c r="W14" s="9">
        <f t="shared" si="11"/>
        <v>13355</v>
      </c>
      <c r="X14" s="9">
        <f t="shared" si="11"/>
        <v>13376.666666666666</v>
      </c>
      <c r="Y14" s="9">
        <f t="shared" si="11"/>
        <v>10581.666666666666</v>
      </c>
      <c r="Z14" s="9">
        <f t="shared" si="11"/>
        <v>13371.666666666666</v>
      </c>
      <c r="AA14" s="9">
        <f t="shared" si="11"/>
        <v>13391</v>
      </c>
      <c r="AB14" s="9">
        <f t="shared" si="11"/>
        <v>10653.333333333334</v>
      </c>
    </row>
    <row r="15" spans="1:38" x14ac:dyDescent="0.2">
      <c r="A15" s="11" t="s">
        <v>60</v>
      </c>
      <c r="B15" s="12">
        <v>8</v>
      </c>
      <c r="C15" s="12">
        <v>46307</v>
      </c>
      <c r="D15" s="13">
        <f>C15-E15-F15-G15-H15-I15-J15</f>
        <v>4189</v>
      </c>
      <c r="E15" s="12">
        <v>1180</v>
      </c>
      <c r="F15" s="12">
        <v>306</v>
      </c>
      <c r="G15" s="12">
        <v>222</v>
      </c>
      <c r="H15" s="12">
        <v>19174</v>
      </c>
      <c r="I15" s="12">
        <v>13761</v>
      </c>
      <c r="J15" s="12">
        <v>7475</v>
      </c>
      <c r="K15" s="14">
        <f t="shared" ref="K15:M17" si="12">SUM(E15,H15)</f>
        <v>20354</v>
      </c>
      <c r="L15" s="14">
        <f t="shared" si="12"/>
        <v>14067</v>
      </c>
      <c r="M15" s="14">
        <f t="shared" si="12"/>
        <v>7697</v>
      </c>
      <c r="P15" s="11" t="s">
        <v>123</v>
      </c>
      <c r="Q15" s="12">
        <v>11</v>
      </c>
      <c r="R15" s="12">
        <v>64203</v>
      </c>
      <c r="S15" s="13">
        <f>R15-T15-U15-V15-W15-X15-Y15</f>
        <v>4131</v>
      </c>
      <c r="T15" s="12">
        <v>25</v>
      </c>
      <c r="U15" s="12">
        <v>159</v>
      </c>
      <c r="V15" s="12">
        <v>98</v>
      </c>
      <c r="W15" s="12">
        <v>20860</v>
      </c>
      <c r="X15" s="12">
        <v>25535</v>
      </c>
      <c r="Y15" s="12">
        <v>13395</v>
      </c>
      <c r="Z15" s="14">
        <f t="shared" ref="Z15:AB17" si="13">SUM(T15,W15)</f>
        <v>20885</v>
      </c>
      <c r="AA15" s="14">
        <f t="shared" si="13"/>
        <v>25694</v>
      </c>
      <c r="AB15" s="14">
        <f t="shared" si="13"/>
        <v>13493</v>
      </c>
    </row>
    <row r="16" spans="1:38" x14ac:dyDescent="0.2">
      <c r="A16" s="15" t="s">
        <v>60</v>
      </c>
      <c r="B16" s="9">
        <v>10</v>
      </c>
      <c r="C16" s="9">
        <v>34519</v>
      </c>
      <c r="D16" s="16">
        <f>C16-E16-F16-G16-H16-I16-J16</f>
        <v>3217</v>
      </c>
      <c r="E16" s="9">
        <v>859</v>
      </c>
      <c r="F16" s="9">
        <v>226</v>
      </c>
      <c r="G16" s="9">
        <v>169</v>
      </c>
      <c r="H16" s="9">
        <v>14320</v>
      </c>
      <c r="I16" s="9">
        <v>9910</v>
      </c>
      <c r="J16" s="9">
        <v>5818</v>
      </c>
      <c r="K16" s="17">
        <f t="shared" si="12"/>
        <v>15179</v>
      </c>
      <c r="L16" s="17">
        <f t="shared" si="12"/>
        <v>10136</v>
      </c>
      <c r="M16" s="17">
        <f t="shared" si="12"/>
        <v>5987</v>
      </c>
      <c r="P16" s="15" t="s">
        <v>123</v>
      </c>
      <c r="Q16" s="9">
        <v>14</v>
      </c>
      <c r="R16" s="9">
        <v>35314</v>
      </c>
      <c r="S16" s="16">
        <f>R16-T16-U16-V16-W16-X16-Y16</f>
        <v>4342</v>
      </c>
      <c r="T16" s="9">
        <v>12</v>
      </c>
      <c r="U16" s="9">
        <v>59</v>
      </c>
      <c r="V16" s="9">
        <v>49</v>
      </c>
      <c r="W16" s="9">
        <v>10590</v>
      </c>
      <c r="X16" s="9">
        <v>13317</v>
      </c>
      <c r="Y16" s="9">
        <v>6945</v>
      </c>
      <c r="Z16" s="17">
        <f t="shared" si="13"/>
        <v>10602</v>
      </c>
      <c r="AA16" s="17">
        <f t="shared" si="13"/>
        <v>13376</v>
      </c>
      <c r="AB16" s="17">
        <f t="shared" si="13"/>
        <v>6994</v>
      </c>
    </row>
    <row r="17" spans="1:28" ht="17" thickBot="1" x14ac:dyDescent="0.25">
      <c r="A17" s="18" t="s">
        <v>60</v>
      </c>
      <c r="B17" s="19">
        <v>6</v>
      </c>
      <c r="C17" s="19">
        <v>43228</v>
      </c>
      <c r="D17" s="20">
        <f>C17-E17-F17-G17-H17-I17-J17</f>
        <v>4006</v>
      </c>
      <c r="E17" s="19">
        <v>1139</v>
      </c>
      <c r="F17" s="19">
        <v>293</v>
      </c>
      <c r="G17" s="19">
        <v>158</v>
      </c>
      <c r="H17" s="19">
        <v>18382</v>
      </c>
      <c r="I17" s="19">
        <v>13477</v>
      </c>
      <c r="J17" s="19">
        <v>5773</v>
      </c>
      <c r="K17" s="21">
        <f t="shared" si="12"/>
        <v>19521</v>
      </c>
      <c r="L17" s="21">
        <f t="shared" si="12"/>
        <v>13770</v>
      </c>
      <c r="M17" s="21">
        <f t="shared" si="12"/>
        <v>5931</v>
      </c>
      <c r="P17" s="18" t="s">
        <v>123</v>
      </c>
      <c r="Q17" s="19">
        <v>16</v>
      </c>
      <c r="R17" s="19">
        <v>23141</v>
      </c>
      <c r="S17" s="20">
        <f>R17-T17-U17-V17-W17-X17-Y17</f>
        <v>3680</v>
      </c>
      <c r="T17" s="19">
        <v>14</v>
      </c>
      <c r="U17" s="19">
        <v>43</v>
      </c>
      <c r="V17" s="19">
        <v>37</v>
      </c>
      <c r="W17" s="19">
        <v>6714</v>
      </c>
      <c r="X17" s="19">
        <v>7966</v>
      </c>
      <c r="Y17" s="19">
        <v>4687</v>
      </c>
      <c r="Z17" s="21">
        <f t="shared" si="13"/>
        <v>6728</v>
      </c>
      <c r="AA17" s="21">
        <f t="shared" si="13"/>
        <v>8009</v>
      </c>
      <c r="AB17" s="21">
        <f t="shared" si="13"/>
        <v>4724</v>
      </c>
    </row>
    <row r="18" spans="1:28" ht="17" thickBot="1" x14ac:dyDescent="0.25">
      <c r="A18" s="9"/>
      <c r="B18" s="9" t="s">
        <v>57</v>
      </c>
      <c r="C18" s="9">
        <f t="shared" ref="C18:M18" si="14">AVERAGE(C15:C17)</f>
        <v>41351.333333333336</v>
      </c>
      <c r="D18" s="9">
        <f t="shared" si="14"/>
        <v>3804</v>
      </c>
      <c r="E18" s="9">
        <f t="shared" si="14"/>
        <v>1059.3333333333333</v>
      </c>
      <c r="F18" s="9">
        <f t="shared" si="14"/>
        <v>275</v>
      </c>
      <c r="G18" s="9">
        <f t="shared" si="14"/>
        <v>183</v>
      </c>
      <c r="H18" s="9">
        <f t="shared" si="14"/>
        <v>17292</v>
      </c>
      <c r="I18" s="9">
        <f t="shared" si="14"/>
        <v>12382.666666666666</v>
      </c>
      <c r="J18" s="9">
        <f t="shared" si="14"/>
        <v>6355.333333333333</v>
      </c>
      <c r="K18" s="9">
        <f t="shared" si="14"/>
        <v>18351.333333333332</v>
      </c>
      <c r="L18" s="9">
        <f t="shared" si="14"/>
        <v>12657.666666666666</v>
      </c>
      <c r="M18" s="9">
        <f t="shared" si="14"/>
        <v>6538.333333333333</v>
      </c>
      <c r="P18" s="9"/>
      <c r="Q18" s="9" t="s">
        <v>57</v>
      </c>
      <c r="R18" s="9">
        <f t="shared" ref="R18:AB18" si="15">AVERAGE(R15:R17)</f>
        <v>40886</v>
      </c>
      <c r="S18" s="9">
        <f t="shared" si="15"/>
        <v>4051</v>
      </c>
      <c r="T18" s="9">
        <f t="shared" si="15"/>
        <v>17</v>
      </c>
      <c r="U18" s="9">
        <f t="shared" si="15"/>
        <v>87</v>
      </c>
      <c r="V18" s="9">
        <f t="shared" si="15"/>
        <v>61.333333333333336</v>
      </c>
      <c r="W18" s="9">
        <f t="shared" si="15"/>
        <v>12721.333333333334</v>
      </c>
      <c r="X18" s="9">
        <f t="shared" si="15"/>
        <v>15606</v>
      </c>
      <c r="Y18" s="9">
        <f t="shared" si="15"/>
        <v>8342.3333333333339</v>
      </c>
      <c r="Z18" s="9">
        <f t="shared" si="15"/>
        <v>12738.333333333334</v>
      </c>
      <c r="AA18" s="9">
        <f t="shared" si="15"/>
        <v>15693</v>
      </c>
      <c r="AB18" s="9">
        <f t="shared" si="15"/>
        <v>8403.6666666666661</v>
      </c>
    </row>
    <row r="19" spans="1:28" x14ac:dyDescent="0.2">
      <c r="A19" s="11" t="s">
        <v>61</v>
      </c>
      <c r="B19" s="12">
        <v>8</v>
      </c>
      <c r="C19" s="12">
        <v>45627</v>
      </c>
      <c r="D19" s="13">
        <f>C19-E19-F19-G19-H19-I19-J19</f>
        <v>4914</v>
      </c>
      <c r="E19" s="12">
        <v>855</v>
      </c>
      <c r="F19" s="12">
        <v>293</v>
      </c>
      <c r="G19" s="12">
        <v>147</v>
      </c>
      <c r="H19" s="12">
        <v>18247</v>
      </c>
      <c r="I19" s="12">
        <v>13447</v>
      </c>
      <c r="J19" s="12">
        <v>7724</v>
      </c>
      <c r="K19" s="14">
        <f t="shared" ref="K19:M21" si="16">SUM(E19,H19)</f>
        <v>19102</v>
      </c>
      <c r="L19" s="14">
        <f t="shared" si="16"/>
        <v>13740</v>
      </c>
      <c r="M19" s="14">
        <f t="shared" si="16"/>
        <v>7871</v>
      </c>
      <c r="P19" s="11" t="s">
        <v>125</v>
      </c>
      <c r="Q19" s="12">
        <v>11</v>
      </c>
      <c r="R19" s="12">
        <v>70466</v>
      </c>
      <c r="S19" s="13">
        <f>R19-T19-U19-V19-W19-X19-Y19</f>
        <v>5401</v>
      </c>
      <c r="T19" s="12">
        <v>24</v>
      </c>
      <c r="U19" s="12">
        <v>180</v>
      </c>
      <c r="V19" s="12">
        <v>119</v>
      </c>
      <c r="W19" s="12">
        <v>15548</v>
      </c>
      <c r="X19" s="12">
        <v>31159</v>
      </c>
      <c r="Y19" s="12">
        <v>18035</v>
      </c>
      <c r="Z19" s="14">
        <f t="shared" ref="Z19:AB21" si="17">SUM(T19,W19)</f>
        <v>15572</v>
      </c>
      <c r="AA19" s="14">
        <f t="shared" si="17"/>
        <v>31339</v>
      </c>
      <c r="AB19" s="14">
        <f t="shared" si="17"/>
        <v>18154</v>
      </c>
    </row>
    <row r="20" spans="1:28" x14ac:dyDescent="0.2">
      <c r="A20" s="15" t="s">
        <v>61</v>
      </c>
      <c r="B20" s="9">
        <v>12</v>
      </c>
      <c r="C20" s="9">
        <v>30517</v>
      </c>
      <c r="D20" s="16">
        <f>C20-E20-F20-G20-H20-I20-J20</f>
        <v>3393</v>
      </c>
      <c r="E20" s="9">
        <v>711</v>
      </c>
      <c r="F20" s="9">
        <v>225</v>
      </c>
      <c r="G20" s="9">
        <v>158</v>
      </c>
      <c r="H20" s="9">
        <v>12043</v>
      </c>
      <c r="I20" s="9">
        <v>8675</v>
      </c>
      <c r="J20" s="9">
        <v>5312</v>
      </c>
      <c r="K20" s="17">
        <f t="shared" si="16"/>
        <v>12754</v>
      </c>
      <c r="L20" s="17">
        <f t="shared" si="16"/>
        <v>8900</v>
      </c>
      <c r="M20" s="17">
        <f t="shared" si="16"/>
        <v>5470</v>
      </c>
      <c r="P20" s="15" t="s">
        <v>125</v>
      </c>
      <c r="Q20" s="9">
        <v>9</v>
      </c>
      <c r="R20" s="9">
        <v>67536</v>
      </c>
      <c r="S20" s="16">
        <f>R20-T20-U20-V20-W20-X20-Y20</f>
        <v>4837</v>
      </c>
      <c r="T20" s="9">
        <v>16</v>
      </c>
      <c r="U20" s="9">
        <v>169</v>
      </c>
      <c r="V20" s="9">
        <v>119</v>
      </c>
      <c r="W20" s="9">
        <v>15422</v>
      </c>
      <c r="X20" s="9">
        <v>29235</v>
      </c>
      <c r="Y20" s="9">
        <v>17738</v>
      </c>
      <c r="Z20" s="17">
        <f t="shared" si="17"/>
        <v>15438</v>
      </c>
      <c r="AA20" s="17">
        <f t="shared" si="17"/>
        <v>29404</v>
      </c>
      <c r="AB20" s="17">
        <f t="shared" si="17"/>
        <v>17857</v>
      </c>
    </row>
    <row r="21" spans="1:28" ht="17" thickBot="1" x14ac:dyDescent="0.25">
      <c r="A21" s="18" t="s">
        <v>61</v>
      </c>
      <c r="B21" s="19">
        <v>6</v>
      </c>
      <c r="C21" s="19">
        <v>28876</v>
      </c>
      <c r="D21" s="20">
        <f>C21-E21-F21-G21-H21-I21-J21</f>
        <v>4361</v>
      </c>
      <c r="E21" s="19">
        <v>457</v>
      </c>
      <c r="F21" s="19">
        <v>189</v>
      </c>
      <c r="G21" s="19">
        <v>70</v>
      </c>
      <c r="H21" s="19">
        <v>11177</v>
      </c>
      <c r="I21" s="19">
        <v>8352</v>
      </c>
      <c r="J21" s="19">
        <v>4270</v>
      </c>
      <c r="K21" s="21">
        <f t="shared" si="16"/>
        <v>11634</v>
      </c>
      <c r="L21" s="21">
        <f t="shared" si="16"/>
        <v>8541</v>
      </c>
      <c r="M21" s="21">
        <f t="shared" si="16"/>
        <v>4340</v>
      </c>
      <c r="P21" s="18" t="s">
        <v>125</v>
      </c>
      <c r="Q21" s="19">
        <v>13</v>
      </c>
      <c r="R21" s="19">
        <v>55625</v>
      </c>
      <c r="S21" s="20">
        <f>R21-T21-U21-V21-W21-X21-Y21</f>
        <v>5963</v>
      </c>
      <c r="T21" s="19">
        <v>14</v>
      </c>
      <c r="U21" s="19">
        <v>111</v>
      </c>
      <c r="V21" s="19">
        <v>79</v>
      </c>
      <c r="W21" s="19">
        <v>11253</v>
      </c>
      <c r="X21" s="19">
        <v>24369</v>
      </c>
      <c r="Y21" s="19">
        <v>13836</v>
      </c>
      <c r="Z21" s="21">
        <f t="shared" si="17"/>
        <v>11267</v>
      </c>
      <c r="AA21" s="21">
        <f t="shared" si="17"/>
        <v>24480</v>
      </c>
      <c r="AB21" s="21">
        <f t="shared" si="17"/>
        <v>13915</v>
      </c>
    </row>
    <row r="22" spans="1:28" ht="17" thickBot="1" x14ac:dyDescent="0.25">
      <c r="A22" s="9"/>
      <c r="B22" s="9" t="s">
        <v>57</v>
      </c>
      <c r="C22" s="9">
        <f t="shared" ref="C22:M22" si="18">AVERAGE(C19:C21)</f>
        <v>35006.666666666664</v>
      </c>
      <c r="D22" s="9">
        <f t="shared" si="18"/>
        <v>4222.666666666667</v>
      </c>
      <c r="E22" s="9">
        <f t="shared" si="18"/>
        <v>674.33333333333337</v>
      </c>
      <c r="F22" s="9">
        <f t="shared" si="18"/>
        <v>235.66666666666666</v>
      </c>
      <c r="G22" s="9">
        <f t="shared" si="18"/>
        <v>125</v>
      </c>
      <c r="H22" s="9">
        <f t="shared" si="18"/>
        <v>13822.333333333334</v>
      </c>
      <c r="I22" s="9">
        <f t="shared" si="18"/>
        <v>10158</v>
      </c>
      <c r="J22" s="9">
        <f t="shared" si="18"/>
        <v>5768.666666666667</v>
      </c>
      <c r="K22" s="9">
        <f t="shared" si="18"/>
        <v>14496.666666666666</v>
      </c>
      <c r="L22" s="9">
        <f t="shared" si="18"/>
        <v>10393.666666666666</v>
      </c>
      <c r="M22" s="9">
        <f t="shared" si="18"/>
        <v>5893.666666666667</v>
      </c>
      <c r="P22" s="9"/>
      <c r="Q22" s="9" t="s">
        <v>57</v>
      </c>
      <c r="R22" s="9">
        <f t="shared" ref="R22:AB22" si="19">AVERAGE(R19:R21)</f>
        <v>64542.333333333336</v>
      </c>
      <c r="S22" s="9">
        <f t="shared" si="19"/>
        <v>5400.333333333333</v>
      </c>
      <c r="T22" s="9">
        <f t="shared" si="19"/>
        <v>18</v>
      </c>
      <c r="U22" s="9">
        <f t="shared" si="19"/>
        <v>153.33333333333334</v>
      </c>
      <c r="V22" s="9">
        <f t="shared" si="19"/>
        <v>105.66666666666667</v>
      </c>
      <c r="W22" s="9">
        <f t="shared" si="19"/>
        <v>14074.333333333334</v>
      </c>
      <c r="X22" s="9">
        <f t="shared" si="19"/>
        <v>28254.333333333332</v>
      </c>
      <c r="Y22" s="9">
        <f t="shared" si="19"/>
        <v>16536.333333333332</v>
      </c>
      <c r="Z22" s="9">
        <f t="shared" si="19"/>
        <v>14092.333333333334</v>
      </c>
      <c r="AA22" s="9">
        <f t="shared" si="19"/>
        <v>28407.666666666668</v>
      </c>
      <c r="AB22" s="9">
        <f t="shared" si="19"/>
        <v>16642</v>
      </c>
    </row>
    <row r="23" spans="1:28" x14ac:dyDescent="0.2">
      <c r="A23" s="11" t="s">
        <v>62</v>
      </c>
      <c r="B23" s="12">
        <v>7</v>
      </c>
      <c r="C23" s="12">
        <v>51079</v>
      </c>
      <c r="D23" s="13">
        <f>C23-E23-F23-G23-H23-I23-J23</f>
        <v>4677</v>
      </c>
      <c r="E23" s="12">
        <v>734</v>
      </c>
      <c r="F23" s="12">
        <v>220</v>
      </c>
      <c r="G23" s="12">
        <v>365</v>
      </c>
      <c r="H23" s="12">
        <v>20020</v>
      </c>
      <c r="I23" s="12">
        <v>13895</v>
      </c>
      <c r="J23" s="12">
        <v>11168</v>
      </c>
      <c r="K23" s="14">
        <f t="shared" ref="K23:M25" si="20">SUM(E23,H23)</f>
        <v>20754</v>
      </c>
      <c r="L23" s="14">
        <f t="shared" si="20"/>
        <v>14115</v>
      </c>
      <c r="M23" s="14">
        <f t="shared" si="20"/>
        <v>11533</v>
      </c>
      <c r="P23" s="11" t="s">
        <v>118</v>
      </c>
      <c r="Q23" s="12">
        <v>10</v>
      </c>
      <c r="R23" s="12">
        <v>104510</v>
      </c>
      <c r="S23" s="13">
        <f>R23-T23-U23-V23-W23-X23-Y23</f>
        <v>8756</v>
      </c>
      <c r="T23" s="12">
        <v>101</v>
      </c>
      <c r="U23" s="12">
        <v>73</v>
      </c>
      <c r="V23" s="12">
        <v>269</v>
      </c>
      <c r="W23" s="12">
        <v>38599</v>
      </c>
      <c r="X23" s="12">
        <v>30640</v>
      </c>
      <c r="Y23" s="12">
        <v>26072</v>
      </c>
      <c r="Z23" s="14">
        <f t="shared" ref="Z23:AB25" si="21">SUM(T23,W23)</f>
        <v>38700</v>
      </c>
      <c r="AA23" s="14">
        <f t="shared" si="21"/>
        <v>30713</v>
      </c>
      <c r="AB23" s="14">
        <f t="shared" si="21"/>
        <v>26341</v>
      </c>
    </row>
    <row r="24" spans="1:28" x14ac:dyDescent="0.2">
      <c r="A24" s="15" t="s">
        <v>62</v>
      </c>
      <c r="B24" s="9">
        <v>9</v>
      </c>
      <c r="C24" s="9">
        <v>15040</v>
      </c>
      <c r="D24" s="16">
        <f>C24-E24-F24-G24-H24-I24-J24</f>
        <v>3192</v>
      </c>
      <c r="E24" s="9">
        <v>209</v>
      </c>
      <c r="F24" s="9">
        <v>50</v>
      </c>
      <c r="G24" s="9">
        <v>57</v>
      </c>
      <c r="H24" s="9">
        <v>5355</v>
      </c>
      <c r="I24" s="9">
        <v>3353</v>
      </c>
      <c r="J24" s="9">
        <v>2824</v>
      </c>
      <c r="K24" s="17">
        <f t="shared" si="20"/>
        <v>5564</v>
      </c>
      <c r="L24" s="17">
        <f t="shared" si="20"/>
        <v>3403</v>
      </c>
      <c r="M24" s="17">
        <f t="shared" si="20"/>
        <v>2881</v>
      </c>
      <c r="P24" s="15" t="s">
        <v>118</v>
      </c>
      <c r="Q24" s="9">
        <v>8</v>
      </c>
      <c r="R24" s="9">
        <v>100585</v>
      </c>
      <c r="S24" s="16">
        <f>R24-T24-U24-V24-W24-X24-Y24</f>
        <v>6861</v>
      </c>
      <c r="T24" s="9">
        <v>93</v>
      </c>
      <c r="U24" s="9">
        <v>68</v>
      </c>
      <c r="V24" s="9">
        <v>281</v>
      </c>
      <c r="W24" s="9">
        <v>36698</v>
      </c>
      <c r="X24" s="9">
        <v>28972</v>
      </c>
      <c r="Y24" s="9">
        <v>27612</v>
      </c>
      <c r="Z24" s="17">
        <f t="shared" si="21"/>
        <v>36791</v>
      </c>
      <c r="AA24" s="17">
        <f t="shared" si="21"/>
        <v>29040</v>
      </c>
      <c r="AB24" s="17">
        <f t="shared" si="21"/>
        <v>27893</v>
      </c>
    </row>
    <row r="25" spans="1:28" ht="17" thickBot="1" x14ac:dyDescent="0.25">
      <c r="A25" s="18" t="s">
        <v>62</v>
      </c>
      <c r="B25" s="19">
        <v>5</v>
      </c>
      <c r="C25" s="19">
        <v>81001</v>
      </c>
      <c r="D25" s="20">
        <f>C25-E25-F25-G25-H25-I25-J25</f>
        <v>5043</v>
      </c>
      <c r="E25" s="19">
        <v>1619</v>
      </c>
      <c r="F25" s="19">
        <v>478</v>
      </c>
      <c r="G25" s="19">
        <v>860</v>
      </c>
      <c r="H25" s="19">
        <v>30445</v>
      </c>
      <c r="I25" s="19">
        <v>23657</v>
      </c>
      <c r="J25" s="19">
        <v>18899</v>
      </c>
      <c r="K25" s="21">
        <f t="shared" si="20"/>
        <v>32064</v>
      </c>
      <c r="L25" s="21">
        <f t="shared" si="20"/>
        <v>24135</v>
      </c>
      <c r="M25" s="21">
        <f t="shared" si="20"/>
        <v>19759</v>
      </c>
      <c r="P25" s="18" t="s">
        <v>118</v>
      </c>
      <c r="Q25" s="19">
        <v>12</v>
      </c>
      <c r="R25" s="19">
        <v>75970</v>
      </c>
      <c r="S25" s="20">
        <f>R25-T25-U25-V25-W25-X25-Y25</f>
        <v>9384</v>
      </c>
      <c r="T25" s="19">
        <v>75</v>
      </c>
      <c r="U25" s="19">
        <v>60</v>
      </c>
      <c r="V25" s="19">
        <v>138</v>
      </c>
      <c r="W25" s="19">
        <v>27296</v>
      </c>
      <c r="X25" s="19">
        <v>21577</v>
      </c>
      <c r="Y25" s="19">
        <v>17440</v>
      </c>
      <c r="Z25" s="21">
        <f t="shared" si="21"/>
        <v>27371</v>
      </c>
      <c r="AA25" s="21">
        <f t="shared" si="21"/>
        <v>21637</v>
      </c>
      <c r="AB25" s="21">
        <f t="shared" si="21"/>
        <v>17578</v>
      </c>
    </row>
    <row r="26" spans="1:28" ht="17" thickBot="1" x14ac:dyDescent="0.25">
      <c r="A26" s="9"/>
      <c r="B26" s="9" t="s">
        <v>57</v>
      </c>
      <c r="C26" s="9">
        <f t="shared" ref="C26:M26" si="22">AVERAGE(C23:C25)</f>
        <v>49040</v>
      </c>
      <c r="D26" s="9">
        <f t="shared" si="22"/>
        <v>4304</v>
      </c>
      <c r="E26" s="9">
        <f t="shared" si="22"/>
        <v>854</v>
      </c>
      <c r="F26" s="9">
        <f t="shared" si="22"/>
        <v>249.33333333333334</v>
      </c>
      <c r="G26" s="9">
        <f t="shared" si="22"/>
        <v>427.33333333333331</v>
      </c>
      <c r="H26" s="9">
        <f t="shared" si="22"/>
        <v>18606.666666666668</v>
      </c>
      <c r="I26" s="9">
        <f t="shared" si="22"/>
        <v>13635</v>
      </c>
      <c r="J26" s="9">
        <f t="shared" si="22"/>
        <v>10963.666666666666</v>
      </c>
      <c r="K26" s="9">
        <f t="shared" si="22"/>
        <v>19460.666666666668</v>
      </c>
      <c r="L26" s="9">
        <f t="shared" si="22"/>
        <v>13884.333333333334</v>
      </c>
      <c r="M26" s="9">
        <f t="shared" si="22"/>
        <v>11391</v>
      </c>
      <c r="P26" s="9"/>
      <c r="Q26" s="9" t="s">
        <v>57</v>
      </c>
      <c r="R26" s="9">
        <f t="shared" ref="R26:AB26" si="23">AVERAGE(R23:R25)</f>
        <v>93688.333333333328</v>
      </c>
      <c r="S26" s="9">
        <f t="shared" si="23"/>
        <v>8333.6666666666661</v>
      </c>
      <c r="T26" s="9">
        <f t="shared" si="23"/>
        <v>89.666666666666671</v>
      </c>
      <c r="U26" s="9">
        <f t="shared" si="23"/>
        <v>67</v>
      </c>
      <c r="V26" s="9">
        <f t="shared" si="23"/>
        <v>229.33333333333334</v>
      </c>
      <c r="W26" s="9">
        <f t="shared" si="23"/>
        <v>34197.666666666664</v>
      </c>
      <c r="X26" s="9">
        <f t="shared" si="23"/>
        <v>27063</v>
      </c>
      <c r="Y26" s="9">
        <f t="shared" si="23"/>
        <v>23708</v>
      </c>
      <c r="Z26" s="9">
        <f t="shared" si="23"/>
        <v>34287.333333333336</v>
      </c>
      <c r="AA26" s="9">
        <f t="shared" si="23"/>
        <v>27130</v>
      </c>
      <c r="AB26" s="9">
        <f t="shared" si="23"/>
        <v>23937.333333333332</v>
      </c>
    </row>
    <row r="27" spans="1:28" x14ac:dyDescent="0.2">
      <c r="A27" s="11" t="s">
        <v>63</v>
      </c>
      <c r="B27" s="12">
        <v>8</v>
      </c>
      <c r="C27" s="12">
        <v>41454</v>
      </c>
      <c r="D27" s="13">
        <f>C27-E27-F27-G27-H27-I27-J27</f>
        <v>3740</v>
      </c>
      <c r="E27" s="12">
        <v>433</v>
      </c>
      <c r="F27" s="12">
        <v>351</v>
      </c>
      <c r="G27" s="12">
        <v>612</v>
      </c>
      <c r="H27" s="12">
        <v>13524</v>
      </c>
      <c r="I27" s="12">
        <v>13171</v>
      </c>
      <c r="J27" s="12">
        <v>9623</v>
      </c>
      <c r="K27" s="14">
        <f t="shared" ref="K27:M29" si="24">SUM(E27,H27)</f>
        <v>13957</v>
      </c>
      <c r="L27" s="14">
        <f t="shared" si="24"/>
        <v>13522</v>
      </c>
      <c r="M27" s="14">
        <f t="shared" si="24"/>
        <v>10235</v>
      </c>
      <c r="P27" s="11" t="s">
        <v>120</v>
      </c>
      <c r="Q27" s="12">
        <v>11</v>
      </c>
      <c r="R27" s="12">
        <v>130691</v>
      </c>
      <c r="S27" s="13">
        <f>R27-T27-U27-V27-W27-X27-Y27</f>
        <v>7396</v>
      </c>
      <c r="T27" s="12">
        <v>67</v>
      </c>
      <c r="U27" s="12">
        <v>88</v>
      </c>
      <c r="V27" s="12">
        <v>334</v>
      </c>
      <c r="W27" s="12">
        <v>44204</v>
      </c>
      <c r="X27" s="12">
        <v>44448</v>
      </c>
      <c r="Y27" s="12">
        <v>34154</v>
      </c>
      <c r="Z27" s="14">
        <f t="shared" ref="Z27:AB29" si="25">SUM(T27,W27)</f>
        <v>44271</v>
      </c>
      <c r="AA27" s="14">
        <f t="shared" si="25"/>
        <v>44536</v>
      </c>
      <c r="AB27" s="14">
        <f t="shared" si="25"/>
        <v>34488</v>
      </c>
    </row>
    <row r="28" spans="1:28" x14ac:dyDescent="0.2">
      <c r="A28" s="15" t="s">
        <v>63</v>
      </c>
      <c r="B28" s="9">
        <v>11</v>
      </c>
      <c r="C28" s="9">
        <v>46563</v>
      </c>
      <c r="D28" s="16">
        <f>C28-E28-F28-G28-H28-I28-J28</f>
        <v>3591</v>
      </c>
      <c r="E28" s="9">
        <v>406</v>
      </c>
      <c r="F28" s="9">
        <v>354</v>
      </c>
      <c r="G28" s="9">
        <v>1000</v>
      </c>
      <c r="H28" s="9">
        <v>11786</v>
      </c>
      <c r="I28" s="9">
        <v>13888</v>
      </c>
      <c r="J28" s="9">
        <v>15538</v>
      </c>
      <c r="K28" s="17">
        <f t="shared" si="24"/>
        <v>12192</v>
      </c>
      <c r="L28" s="17">
        <f t="shared" si="24"/>
        <v>14242</v>
      </c>
      <c r="M28" s="17">
        <f t="shared" si="24"/>
        <v>16538</v>
      </c>
      <c r="P28" s="15" t="s">
        <v>120</v>
      </c>
      <c r="Q28" s="9">
        <v>16</v>
      </c>
      <c r="R28" s="9">
        <v>46713</v>
      </c>
      <c r="S28" s="16">
        <f>R28-T28-U28-V28-W28-X28-Y28</f>
        <v>5518</v>
      </c>
      <c r="T28" s="9">
        <v>24</v>
      </c>
      <c r="U28" s="9">
        <v>7</v>
      </c>
      <c r="V28" s="9">
        <v>68</v>
      </c>
      <c r="W28" s="9">
        <v>16465</v>
      </c>
      <c r="X28" s="9">
        <v>9425</v>
      </c>
      <c r="Y28" s="9">
        <v>15206</v>
      </c>
      <c r="Z28" s="17">
        <f t="shared" si="25"/>
        <v>16489</v>
      </c>
      <c r="AA28" s="17">
        <f t="shared" si="25"/>
        <v>9432</v>
      </c>
      <c r="AB28" s="17">
        <f t="shared" si="25"/>
        <v>15274</v>
      </c>
    </row>
    <row r="29" spans="1:28" ht="17" thickBot="1" x14ac:dyDescent="0.25">
      <c r="A29" s="18" t="s">
        <v>63</v>
      </c>
      <c r="B29" s="19">
        <v>9</v>
      </c>
      <c r="C29" s="19">
        <v>43444</v>
      </c>
      <c r="D29" s="20">
        <f>C29-E29-F29-G29-H29-I29-J29</f>
        <v>3601</v>
      </c>
      <c r="E29" s="19">
        <v>496</v>
      </c>
      <c r="F29" s="19">
        <v>413</v>
      </c>
      <c r="G29" s="19">
        <v>825</v>
      </c>
      <c r="H29" s="19">
        <v>12770</v>
      </c>
      <c r="I29" s="19">
        <v>13485</v>
      </c>
      <c r="J29" s="19">
        <v>11854</v>
      </c>
      <c r="K29" s="21">
        <f t="shared" si="24"/>
        <v>13266</v>
      </c>
      <c r="L29" s="21">
        <f t="shared" si="24"/>
        <v>13898</v>
      </c>
      <c r="M29" s="21">
        <f t="shared" si="24"/>
        <v>12679</v>
      </c>
      <c r="P29" s="18" t="s">
        <v>120</v>
      </c>
      <c r="Q29" s="19">
        <v>14</v>
      </c>
      <c r="R29" s="19">
        <v>105339</v>
      </c>
      <c r="S29" s="20">
        <f>R29-T29-U29-V29-W29-X29-Y29</f>
        <v>7802</v>
      </c>
      <c r="T29" s="19">
        <v>43</v>
      </c>
      <c r="U29" s="19">
        <v>47</v>
      </c>
      <c r="V29" s="19">
        <v>260</v>
      </c>
      <c r="W29" s="19">
        <v>35125</v>
      </c>
      <c r="X29" s="19">
        <v>30475</v>
      </c>
      <c r="Y29" s="19">
        <v>31587</v>
      </c>
      <c r="Z29" s="21">
        <f t="shared" si="25"/>
        <v>35168</v>
      </c>
      <c r="AA29" s="21">
        <f t="shared" si="25"/>
        <v>30522</v>
      </c>
      <c r="AB29" s="21">
        <f t="shared" si="25"/>
        <v>31847</v>
      </c>
    </row>
    <row r="30" spans="1:28" ht="17" thickBot="1" x14ac:dyDescent="0.25">
      <c r="A30" s="9"/>
      <c r="B30" s="9" t="s">
        <v>57</v>
      </c>
      <c r="C30" s="9">
        <f t="shared" ref="C30:M30" si="26">AVERAGE(C27:C29)</f>
        <v>43820.333333333336</v>
      </c>
      <c r="D30" s="9">
        <f t="shared" si="26"/>
        <v>3644</v>
      </c>
      <c r="E30" s="9">
        <f t="shared" si="26"/>
        <v>445</v>
      </c>
      <c r="F30" s="9">
        <f t="shared" si="26"/>
        <v>372.66666666666669</v>
      </c>
      <c r="G30" s="9">
        <f t="shared" si="26"/>
        <v>812.33333333333337</v>
      </c>
      <c r="H30" s="9">
        <f t="shared" si="26"/>
        <v>12693.333333333334</v>
      </c>
      <c r="I30" s="9">
        <f t="shared" si="26"/>
        <v>13514.666666666666</v>
      </c>
      <c r="J30" s="9">
        <f t="shared" si="26"/>
        <v>12338.333333333334</v>
      </c>
      <c r="K30" s="9">
        <f t="shared" si="26"/>
        <v>13138.333333333334</v>
      </c>
      <c r="L30" s="9">
        <f t="shared" si="26"/>
        <v>13887.333333333334</v>
      </c>
      <c r="M30" s="9">
        <f t="shared" si="26"/>
        <v>13150.666666666666</v>
      </c>
      <c r="P30" s="9"/>
      <c r="Q30" s="9" t="s">
        <v>57</v>
      </c>
      <c r="R30" s="9">
        <f t="shared" ref="R30:AB30" si="27">AVERAGE(R27:R29)</f>
        <v>94247.666666666672</v>
      </c>
      <c r="S30" s="9">
        <f t="shared" si="27"/>
        <v>6905.333333333333</v>
      </c>
      <c r="T30" s="9">
        <f t="shared" si="27"/>
        <v>44.666666666666664</v>
      </c>
      <c r="U30" s="9">
        <f t="shared" si="27"/>
        <v>47.333333333333336</v>
      </c>
      <c r="V30" s="9">
        <f t="shared" si="27"/>
        <v>220.66666666666666</v>
      </c>
      <c r="W30" s="9">
        <f t="shared" si="27"/>
        <v>31931.333333333332</v>
      </c>
      <c r="X30" s="9">
        <f t="shared" si="27"/>
        <v>28116</v>
      </c>
      <c r="Y30" s="9">
        <f t="shared" si="27"/>
        <v>26982.333333333332</v>
      </c>
      <c r="Z30" s="9">
        <f t="shared" si="27"/>
        <v>31976</v>
      </c>
      <c r="AA30" s="9">
        <f t="shared" si="27"/>
        <v>28163.333333333332</v>
      </c>
      <c r="AB30" s="9">
        <f t="shared" si="27"/>
        <v>27203</v>
      </c>
    </row>
    <row r="31" spans="1:28" x14ac:dyDescent="0.2">
      <c r="A31" s="11" t="s">
        <v>64</v>
      </c>
      <c r="B31" s="12">
        <v>7</v>
      </c>
      <c r="C31" s="12">
        <v>63546</v>
      </c>
      <c r="D31" s="13">
        <f>C31-E31-F31-G31-H31-I31-J31</f>
        <v>4549</v>
      </c>
      <c r="E31" s="12">
        <v>650</v>
      </c>
      <c r="F31" s="12">
        <v>649</v>
      </c>
      <c r="G31" s="12">
        <v>789</v>
      </c>
      <c r="H31" s="12">
        <v>19431</v>
      </c>
      <c r="I31" s="12">
        <v>21293</v>
      </c>
      <c r="J31" s="12">
        <v>16185</v>
      </c>
      <c r="K31" s="14">
        <f t="shared" ref="K31:M33" si="28">SUM(E31,H31)</f>
        <v>20081</v>
      </c>
      <c r="L31" s="14">
        <f t="shared" si="28"/>
        <v>21942</v>
      </c>
      <c r="M31" s="14">
        <f t="shared" si="28"/>
        <v>16974</v>
      </c>
      <c r="P31" s="11" t="s">
        <v>122</v>
      </c>
      <c r="Q31" s="12">
        <v>10</v>
      </c>
      <c r="R31" s="12">
        <v>71978</v>
      </c>
      <c r="S31" s="13">
        <f>R31-T31-U31-V31-W31-X31-Y31</f>
        <v>6233</v>
      </c>
      <c r="T31" s="12">
        <v>24</v>
      </c>
      <c r="U31" s="12">
        <v>49</v>
      </c>
      <c r="V31" s="12">
        <v>267</v>
      </c>
      <c r="W31" s="12">
        <v>16726</v>
      </c>
      <c r="X31" s="12">
        <v>19903</v>
      </c>
      <c r="Y31" s="12">
        <v>28776</v>
      </c>
      <c r="Z31" s="14">
        <f t="shared" ref="Z31:AB33" si="29">SUM(T31,W31)</f>
        <v>16750</v>
      </c>
      <c r="AA31" s="14">
        <f t="shared" si="29"/>
        <v>19952</v>
      </c>
      <c r="AB31" s="14">
        <f t="shared" si="29"/>
        <v>29043</v>
      </c>
    </row>
    <row r="32" spans="1:28" x14ac:dyDescent="0.2">
      <c r="A32" s="15" t="s">
        <v>64</v>
      </c>
      <c r="B32" s="9">
        <v>10</v>
      </c>
      <c r="C32" s="9">
        <v>52136</v>
      </c>
      <c r="D32" s="16">
        <f>C32-E32-F32-G32-H32-I32-J32</f>
        <v>2635</v>
      </c>
      <c r="E32" s="9">
        <v>791</v>
      </c>
      <c r="F32" s="9">
        <v>769</v>
      </c>
      <c r="G32" s="9">
        <v>531</v>
      </c>
      <c r="H32" s="9">
        <v>17699</v>
      </c>
      <c r="I32" s="9">
        <v>18147</v>
      </c>
      <c r="J32" s="9">
        <v>11564</v>
      </c>
      <c r="K32" s="17">
        <f t="shared" si="28"/>
        <v>18490</v>
      </c>
      <c r="L32" s="17">
        <f t="shared" si="28"/>
        <v>18916</v>
      </c>
      <c r="M32" s="17">
        <f t="shared" si="28"/>
        <v>12095</v>
      </c>
      <c r="P32" s="15" t="s">
        <v>122</v>
      </c>
      <c r="Q32" s="9">
        <v>12</v>
      </c>
      <c r="R32" s="9">
        <v>84757</v>
      </c>
      <c r="S32" s="16">
        <f>R32-T32-U32-V32-W32-X32-Y32</f>
        <v>7623</v>
      </c>
      <c r="T32" s="9">
        <v>30</v>
      </c>
      <c r="U32" s="9">
        <v>55</v>
      </c>
      <c r="V32" s="9">
        <v>232</v>
      </c>
      <c r="W32" s="9">
        <v>19801</v>
      </c>
      <c r="X32" s="9">
        <v>25342</v>
      </c>
      <c r="Y32" s="9">
        <v>31674</v>
      </c>
      <c r="Z32" s="17">
        <f t="shared" si="29"/>
        <v>19831</v>
      </c>
      <c r="AA32" s="17">
        <f t="shared" si="29"/>
        <v>25397</v>
      </c>
      <c r="AB32" s="17">
        <f t="shared" si="29"/>
        <v>31906</v>
      </c>
    </row>
    <row r="33" spans="1:28" ht="17" thickBot="1" x14ac:dyDescent="0.25">
      <c r="A33" s="18" t="s">
        <v>64</v>
      </c>
      <c r="B33" s="19">
        <v>5</v>
      </c>
      <c r="C33" s="19">
        <v>46248</v>
      </c>
      <c r="D33" s="20">
        <f>C33-E33-F33-G33-H33-I33-J33</f>
        <v>4328</v>
      </c>
      <c r="E33" s="19">
        <v>413</v>
      </c>
      <c r="F33" s="19">
        <v>393</v>
      </c>
      <c r="G33" s="19">
        <v>493</v>
      </c>
      <c r="H33" s="19">
        <v>13817</v>
      </c>
      <c r="I33" s="19">
        <v>15632</v>
      </c>
      <c r="J33" s="19">
        <v>11172</v>
      </c>
      <c r="K33" s="21">
        <f t="shared" si="28"/>
        <v>14230</v>
      </c>
      <c r="L33" s="21">
        <f t="shared" si="28"/>
        <v>16025</v>
      </c>
      <c r="M33" s="21">
        <f t="shared" si="28"/>
        <v>11665</v>
      </c>
      <c r="P33" s="18" t="s">
        <v>122</v>
      </c>
      <c r="Q33" s="19">
        <v>14</v>
      </c>
      <c r="R33" s="19">
        <v>57711</v>
      </c>
      <c r="S33" s="20">
        <f>R33-T33-U33-V33-W33-X33-Y33</f>
        <v>6760</v>
      </c>
      <c r="T33" s="19">
        <v>16</v>
      </c>
      <c r="U33" s="19">
        <v>36</v>
      </c>
      <c r="V33" s="19">
        <v>141</v>
      </c>
      <c r="W33" s="19">
        <v>12938</v>
      </c>
      <c r="X33" s="19">
        <v>19047</v>
      </c>
      <c r="Y33" s="19">
        <v>18773</v>
      </c>
      <c r="Z33" s="21">
        <f t="shared" si="29"/>
        <v>12954</v>
      </c>
      <c r="AA33" s="21">
        <f t="shared" si="29"/>
        <v>19083</v>
      </c>
      <c r="AB33" s="21">
        <f t="shared" si="29"/>
        <v>18914</v>
      </c>
    </row>
    <row r="34" spans="1:28" ht="17" thickBot="1" x14ac:dyDescent="0.25">
      <c r="A34" s="9"/>
      <c r="B34" s="9" t="s">
        <v>57</v>
      </c>
      <c r="C34" s="9">
        <f t="shared" ref="C34:M34" si="30">AVERAGE(C31:C33)</f>
        <v>53976.666666666664</v>
      </c>
      <c r="D34" s="9">
        <f t="shared" si="30"/>
        <v>3837.3333333333335</v>
      </c>
      <c r="E34" s="9">
        <f t="shared" si="30"/>
        <v>618</v>
      </c>
      <c r="F34" s="9">
        <f t="shared" si="30"/>
        <v>603.66666666666663</v>
      </c>
      <c r="G34" s="9">
        <f t="shared" si="30"/>
        <v>604.33333333333337</v>
      </c>
      <c r="H34" s="9">
        <f t="shared" si="30"/>
        <v>16982.333333333332</v>
      </c>
      <c r="I34" s="9">
        <f t="shared" si="30"/>
        <v>18357.333333333332</v>
      </c>
      <c r="J34" s="9">
        <f t="shared" si="30"/>
        <v>12973.666666666666</v>
      </c>
      <c r="K34" s="9">
        <f t="shared" si="30"/>
        <v>17600.333333333332</v>
      </c>
      <c r="L34" s="9">
        <f t="shared" si="30"/>
        <v>18961</v>
      </c>
      <c r="M34" s="9">
        <f t="shared" si="30"/>
        <v>13578</v>
      </c>
      <c r="P34" s="9"/>
      <c r="Q34" s="9" t="s">
        <v>57</v>
      </c>
      <c r="R34" s="9">
        <f t="shared" ref="R34:AB34" si="31">AVERAGE(R31:R33)</f>
        <v>71482</v>
      </c>
      <c r="S34" s="9">
        <f t="shared" si="31"/>
        <v>6872</v>
      </c>
      <c r="T34" s="9">
        <f t="shared" si="31"/>
        <v>23.333333333333332</v>
      </c>
      <c r="U34" s="9">
        <f t="shared" si="31"/>
        <v>46.666666666666664</v>
      </c>
      <c r="V34" s="9">
        <f t="shared" si="31"/>
        <v>213.33333333333334</v>
      </c>
      <c r="W34" s="9">
        <f t="shared" si="31"/>
        <v>16488.333333333332</v>
      </c>
      <c r="X34" s="9">
        <f t="shared" si="31"/>
        <v>21430.666666666668</v>
      </c>
      <c r="Y34" s="9">
        <f t="shared" si="31"/>
        <v>26407.666666666668</v>
      </c>
      <c r="Z34" s="9">
        <f t="shared" si="31"/>
        <v>16511.666666666668</v>
      </c>
      <c r="AA34" s="9">
        <f t="shared" si="31"/>
        <v>21477.333333333332</v>
      </c>
      <c r="AB34" s="9">
        <f t="shared" si="31"/>
        <v>26621</v>
      </c>
    </row>
    <row r="35" spans="1:28" x14ac:dyDescent="0.2">
      <c r="A35" s="11" t="s">
        <v>65</v>
      </c>
      <c r="B35" s="12">
        <v>8</v>
      </c>
      <c r="C35" s="12">
        <v>43717</v>
      </c>
      <c r="D35" s="13">
        <f>C35-E35-F35-G35-H35-I35-J35</f>
        <v>3040</v>
      </c>
      <c r="E35" s="12">
        <v>757</v>
      </c>
      <c r="F35" s="12">
        <v>334</v>
      </c>
      <c r="G35" s="12">
        <v>587</v>
      </c>
      <c r="H35" s="12">
        <v>14133</v>
      </c>
      <c r="I35" s="12">
        <v>13750</v>
      </c>
      <c r="J35" s="12">
        <v>11116</v>
      </c>
      <c r="K35" s="14">
        <f t="shared" ref="K35:M37" si="32">SUM(E35,H35)</f>
        <v>14890</v>
      </c>
      <c r="L35" s="14">
        <f t="shared" si="32"/>
        <v>14084</v>
      </c>
      <c r="M35" s="14">
        <f t="shared" si="32"/>
        <v>11703</v>
      </c>
      <c r="P35" s="11" t="s">
        <v>124</v>
      </c>
      <c r="Q35" s="12">
        <v>10</v>
      </c>
      <c r="R35" s="12">
        <v>98168</v>
      </c>
      <c r="S35" s="13">
        <f>R35-T35-U35-V35-W35-X35-Y35</f>
        <v>7749</v>
      </c>
      <c r="T35" s="12">
        <v>198</v>
      </c>
      <c r="U35" s="12">
        <v>160</v>
      </c>
      <c r="V35" s="12">
        <v>513</v>
      </c>
      <c r="W35" s="12">
        <v>31011</v>
      </c>
      <c r="X35" s="12">
        <v>25440</v>
      </c>
      <c r="Y35" s="12">
        <v>33097</v>
      </c>
      <c r="Z35" s="14">
        <f t="shared" ref="Z35:AB37" si="33">SUM(T35,W35)</f>
        <v>31209</v>
      </c>
      <c r="AA35" s="14">
        <f t="shared" si="33"/>
        <v>25600</v>
      </c>
      <c r="AB35" s="14">
        <f t="shared" si="33"/>
        <v>33610</v>
      </c>
    </row>
    <row r="36" spans="1:28" x14ac:dyDescent="0.2">
      <c r="A36" s="15" t="s">
        <v>65</v>
      </c>
      <c r="B36" s="9">
        <v>10</v>
      </c>
      <c r="C36" s="9">
        <v>46455</v>
      </c>
      <c r="D36" s="16">
        <f>C36-E36-F36-G36-H36-I36-J36</f>
        <v>2355</v>
      </c>
      <c r="E36" s="9">
        <v>889</v>
      </c>
      <c r="F36" s="9">
        <v>418</v>
      </c>
      <c r="G36" s="9">
        <v>584</v>
      </c>
      <c r="H36" s="9">
        <v>16303</v>
      </c>
      <c r="I36" s="9">
        <v>15345</v>
      </c>
      <c r="J36" s="9">
        <v>10561</v>
      </c>
      <c r="K36" s="17">
        <f t="shared" si="32"/>
        <v>17192</v>
      </c>
      <c r="L36" s="17">
        <f t="shared" si="32"/>
        <v>15763</v>
      </c>
      <c r="M36" s="17">
        <f t="shared" si="32"/>
        <v>11145</v>
      </c>
      <c r="P36" s="15" t="s">
        <v>124</v>
      </c>
      <c r="Q36" s="9">
        <v>12</v>
      </c>
      <c r="R36" s="9">
        <v>63412</v>
      </c>
      <c r="S36" s="16">
        <f>R36-T36-U36-V36-W36-X36-Y36</f>
        <v>6851</v>
      </c>
      <c r="T36" s="9">
        <v>116</v>
      </c>
      <c r="U36" s="9">
        <v>76</v>
      </c>
      <c r="V36" s="9">
        <v>249</v>
      </c>
      <c r="W36" s="9">
        <v>19012</v>
      </c>
      <c r="X36" s="9">
        <v>15257</v>
      </c>
      <c r="Y36" s="9">
        <v>21851</v>
      </c>
      <c r="Z36" s="17">
        <f t="shared" si="33"/>
        <v>19128</v>
      </c>
      <c r="AA36" s="17">
        <f t="shared" si="33"/>
        <v>15333</v>
      </c>
      <c r="AB36" s="17">
        <f t="shared" si="33"/>
        <v>22100</v>
      </c>
    </row>
    <row r="37" spans="1:28" ht="17" thickBot="1" x14ac:dyDescent="0.25">
      <c r="A37" s="18" t="s">
        <v>65</v>
      </c>
      <c r="B37" s="19">
        <v>4</v>
      </c>
      <c r="C37" s="19">
        <v>61832</v>
      </c>
      <c r="D37" s="20">
        <f>C37-E37-F37-G37-H37-I37-J37</f>
        <v>2758</v>
      </c>
      <c r="E37" s="19">
        <v>1379</v>
      </c>
      <c r="F37" s="19">
        <v>726</v>
      </c>
      <c r="G37" s="19">
        <v>1235</v>
      </c>
      <c r="H37" s="19">
        <v>20495</v>
      </c>
      <c r="I37" s="19">
        <v>18827</v>
      </c>
      <c r="J37" s="19">
        <v>16412</v>
      </c>
      <c r="K37" s="21">
        <f t="shared" si="32"/>
        <v>21874</v>
      </c>
      <c r="L37" s="21">
        <f t="shared" si="32"/>
        <v>19553</v>
      </c>
      <c r="M37" s="21">
        <f t="shared" si="32"/>
        <v>17647</v>
      </c>
      <c r="P37" s="18" t="s">
        <v>124</v>
      </c>
      <c r="Q37" s="19">
        <v>8</v>
      </c>
      <c r="R37" s="19">
        <v>90307</v>
      </c>
      <c r="S37" s="20">
        <f>R37-T37-U37-V37-W37-X37-Y37</f>
        <v>5827</v>
      </c>
      <c r="T37" s="19">
        <v>217</v>
      </c>
      <c r="U37" s="19">
        <v>134</v>
      </c>
      <c r="V37" s="19">
        <v>470</v>
      </c>
      <c r="W37" s="19">
        <v>29548</v>
      </c>
      <c r="X37" s="19">
        <v>24049</v>
      </c>
      <c r="Y37" s="19">
        <v>30062</v>
      </c>
      <c r="Z37" s="21">
        <f t="shared" si="33"/>
        <v>29765</v>
      </c>
      <c r="AA37" s="21">
        <f t="shared" si="33"/>
        <v>24183</v>
      </c>
      <c r="AB37" s="21">
        <f t="shared" si="33"/>
        <v>30532</v>
      </c>
    </row>
    <row r="38" spans="1:28" ht="17" thickBot="1" x14ac:dyDescent="0.25">
      <c r="A38" s="9"/>
      <c r="B38" s="9" t="s">
        <v>57</v>
      </c>
      <c r="C38" s="9">
        <f t="shared" ref="C38:M38" si="34">AVERAGE(C35:C37)</f>
        <v>50668</v>
      </c>
      <c r="D38" s="9">
        <f t="shared" si="34"/>
        <v>2717.6666666666665</v>
      </c>
      <c r="E38" s="9">
        <f t="shared" si="34"/>
        <v>1008.3333333333334</v>
      </c>
      <c r="F38" s="9">
        <f t="shared" si="34"/>
        <v>492.66666666666669</v>
      </c>
      <c r="G38" s="9">
        <f t="shared" si="34"/>
        <v>802</v>
      </c>
      <c r="H38" s="9">
        <f t="shared" si="34"/>
        <v>16977</v>
      </c>
      <c r="I38" s="9">
        <f t="shared" si="34"/>
        <v>15974</v>
      </c>
      <c r="J38" s="9">
        <f t="shared" si="34"/>
        <v>12696.333333333334</v>
      </c>
      <c r="K38" s="9">
        <f t="shared" si="34"/>
        <v>17985.333333333332</v>
      </c>
      <c r="L38" s="9">
        <f t="shared" si="34"/>
        <v>16466.666666666668</v>
      </c>
      <c r="M38" s="9">
        <f t="shared" si="34"/>
        <v>13498.333333333334</v>
      </c>
      <c r="P38" s="9"/>
      <c r="Q38" s="9" t="s">
        <v>57</v>
      </c>
      <c r="R38" s="9">
        <f t="shared" ref="R38:AB38" si="35">AVERAGE(R35:R37)</f>
        <v>83962.333333333328</v>
      </c>
      <c r="S38" s="9">
        <f t="shared" si="35"/>
        <v>6809</v>
      </c>
      <c r="T38" s="9">
        <f t="shared" si="35"/>
        <v>177</v>
      </c>
      <c r="U38" s="9">
        <f t="shared" si="35"/>
        <v>123.33333333333333</v>
      </c>
      <c r="V38" s="9">
        <f t="shared" si="35"/>
        <v>410.66666666666669</v>
      </c>
      <c r="W38" s="9">
        <f t="shared" si="35"/>
        <v>26523.666666666668</v>
      </c>
      <c r="X38" s="9">
        <f t="shared" si="35"/>
        <v>21582</v>
      </c>
      <c r="Y38" s="9">
        <f t="shared" si="35"/>
        <v>28336.666666666668</v>
      </c>
      <c r="Z38" s="9">
        <f t="shared" si="35"/>
        <v>26700.666666666668</v>
      </c>
      <c r="AA38" s="9">
        <f t="shared" si="35"/>
        <v>21705.333333333332</v>
      </c>
      <c r="AB38" s="9">
        <f t="shared" si="35"/>
        <v>28747.333333333332</v>
      </c>
    </row>
    <row r="39" spans="1:28" x14ac:dyDescent="0.2">
      <c r="A39" s="11" t="s">
        <v>106</v>
      </c>
      <c r="B39" s="12">
        <v>8</v>
      </c>
      <c r="C39" s="12">
        <v>17210</v>
      </c>
      <c r="D39" s="13">
        <f>C39-E39-F39-G39-H39-I39-J39</f>
        <v>2626</v>
      </c>
      <c r="E39" s="12">
        <v>208</v>
      </c>
      <c r="F39" s="12">
        <v>125</v>
      </c>
      <c r="G39" s="12">
        <v>118</v>
      </c>
      <c r="H39" s="12">
        <v>5324</v>
      </c>
      <c r="I39" s="12">
        <v>4638</v>
      </c>
      <c r="J39" s="12">
        <v>4171</v>
      </c>
      <c r="K39" s="14">
        <f t="shared" ref="K39:M41" si="36">SUM(E39,H39)</f>
        <v>5532</v>
      </c>
      <c r="L39" s="14">
        <f t="shared" si="36"/>
        <v>4763</v>
      </c>
      <c r="M39" s="14">
        <f t="shared" si="36"/>
        <v>4289</v>
      </c>
      <c r="P39" s="11" t="s">
        <v>126</v>
      </c>
      <c r="Q39" s="12">
        <v>11</v>
      </c>
      <c r="R39" s="12">
        <v>106721</v>
      </c>
      <c r="S39" s="13">
        <f>R39-T39-U39-V39-W39-X39-Y39</f>
        <v>7555</v>
      </c>
      <c r="T39" s="12">
        <v>89</v>
      </c>
      <c r="U39" s="12">
        <v>42</v>
      </c>
      <c r="V39" s="12">
        <v>135</v>
      </c>
      <c r="W39" s="12">
        <v>29886</v>
      </c>
      <c r="X39" s="12">
        <v>31215</v>
      </c>
      <c r="Y39" s="12">
        <v>37799</v>
      </c>
      <c r="Z39" s="14">
        <f t="shared" ref="Z39:AB41" si="37">SUM(T39,W39)</f>
        <v>29975</v>
      </c>
      <c r="AA39" s="14">
        <f t="shared" si="37"/>
        <v>31257</v>
      </c>
      <c r="AB39" s="14">
        <f t="shared" si="37"/>
        <v>37934</v>
      </c>
    </row>
    <row r="40" spans="1:28" x14ac:dyDescent="0.2">
      <c r="A40" s="15" t="s">
        <v>106</v>
      </c>
      <c r="B40" s="9">
        <v>11</v>
      </c>
      <c r="C40" s="9">
        <v>4513</v>
      </c>
      <c r="D40" s="16">
        <f>C40-E40-F40-G40-H40-I40-J40</f>
        <v>1625</v>
      </c>
      <c r="E40" s="9">
        <v>19</v>
      </c>
      <c r="F40" s="9">
        <v>24</v>
      </c>
      <c r="G40" s="9">
        <v>13</v>
      </c>
      <c r="H40" s="9">
        <v>907</v>
      </c>
      <c r="I40" s="9">
        <v>787</v>
      </c>
      <c r="J40" s="9">
        <v>1138</v>
      </c>
      <c r="K40" s="17">
        <f t="shared" si="36"/>
        <v>926</v>
      </c>
      <c r="L40" s="17">
        <f t="shared" si="36"/>
        <v>811</v>
      </c>
      <c r="M40" s="17">
        <f t="shared" si="36"/>
        <v>1151</v>
      </c>
      <c r="P40" s="15" t="s">
        <v>126</v>
      </c>
      <c r="Q40" s="9">
        <v>13</v>
      </c>
      <c r="R40" s="9">
        <v>64358</v>
      </c>
      <c r="S40" s="16">
        <f>R40-T40-U40-V40-W40-X40-Y40</f>
        <v>6861</v>
      </c>
      <c r="T40" s="9">
        <v>35</v>
      </c>
      <c r="U40" s="9">
        <v>25</v>
      </c>
      <c r="V40" s="9">
        <v>53</v>
      </c>
      <c r="W40" s="9">
        <v>16923</v>
      </c>
      <c r="X40" s="9">
        <v>19129</v>
      </c>
      <c r="Y40" s="9">
        <v>21332</v>
      </c>
      <c r="Z40" s="17">
        <f t="shared" si="37"/>
        <v>16958</v>
      </c>
      <c r="AA40" s="17">
        <f t="shared" si="37"/>
        <v>19154</v>
      </c>
      <c r="AB40" s="17">
        <f t="shared" si="37"/>
        <v>21385</v>
      </c>
    </row>
    <row r="41" spans="1:28" ht="17" thickBot="1" x14ac:dyDescent="0.25">
      <c r="A41" s="18" t="s">
        <v>106</v>
      </c>
      <c r="B41" s="19">
        <v>5</v>
      </c>
      <c r="C41" s="19">
        <v>47698</v>
      </c>
      <c r="D41" s="20">
        <f>C41-E41-F41-G41-H41-I41-J41</f>
        <v>3671</v>
      </c>
      <c r="E41" s="19">
        <v>876</v>
      </c>
      <c r="F41" s="19">
        <v>634</v>
      </c>
      <c r="G41" s="19">
        <v>519</v>
      </c>
      <c r="H41" s="19">
        <v>16525</v>
      </c>
      <c r="I41" s="19">
        <v>15204</v>
      </c>
      <c r="J41" s="19">
        <v>10269</v>
      </c>
      <c r="K41" s="21">
        <f t="shared" si="36"/>
        <v>17401</v>
      </c>
      <c r="L41" s="21">
        <f t="shared" si="36"/>
        <v>15838</v>
      </c>
      <c r="M41" s="21">
        <f t="shared" si="36"/>
        <v>10788</v>
      </c>
      <c r="P41" s="18" t="s">
        <v>126</v>
      </c>
      <c r="Q41" s="19">
        <v>9</v>
      </c>
      <c r="R41" s="19">
        <v>131210</v>
      </c>
      <c r="S41" s="20">
        <f>R41-T41-U41-V41-W41-X41-Y41</f>
        <v>7325</v>
      </c>
      <c r="T41" s="19">
        <v>102</v>
      </c>
      <c r="U41" s="19">
        <v>69</v>
      </c>
      <c r="V41" s="19">
        <v>176</v>
      </c>
      <c r="W41" s="19">
        <v>36768</v>
      </c>
      <c r="X41" s="19">
        <v>37184</v>
      </c>
      <c r="Y41" s="19">
        <v>49586</v>
      </c>
      <c r="Z41" s="21">
        <f t="shared" si="37"/>
        <v>36870</v>
      </c>
      <c r="AA41" s="21">
        <f t="shared" si="37"/>
        <v>37253</v>
      </c>
      <c r="AB41" s="21">
        <f t="shared" si="37"/>
        <v>49762</v>
      </c>
    </row>
    <row r="42" spans="1:28" ht="17" thickBot="1" x14ac:dyDescent="0.25">
      <c r="A42" s="9"/>
      <c r="B42" s="9" t="s">
        <v>57</v>
      </c>
      <c r="C42" s="9">
        <f t="shared" ref="C42:M42" si="38">AVERAGE(C39:C41)</f>
        <v>23140.333333333332</v>
      </c>
      <c r="D42" s="9">
        <f t="shared" si="38"/>
        <v>2640.6666666666665</v>
      </c>
      <c r="E42" s="9">
        <f t="shared" si="38"/>
        <v>367.66666666666669</v>
      </c>
      <c r="F42" s="9">
        <f t="shared" si="38"/>
        <v>261</v>
      </c>
      <c r="G42" s="9">
        <f t="shared" si="38"/>
        <v>216.66666666666666</v>
      </c>
      <c r="H42" s="9">
        <f t="shared" si="38"/>
        <v>7585.333333333333</v>
      </c>
      <c r="I42" s="9">
        <f t="shared" si="38"/>
        <v>6876.333333333333</v>
      </c>
      <c r="J42" s="9">
        <f t="shared" si="38"/>
        <v>5192.666666666667</v>
      </c>
      <c r="K42" s="9">
        <f t="shared" si="38"/>
        <v>7953</v>
      </c>
      <c r="L42" s="9">
        <f t="shared" si="38"/>
        <v>7137.333333333333</v>
      </c>
      <c r="M42" s="9">
        <f t="shared" si="38"/>
        <v>5409.333333333333</v>
      </c>
      <c r="P42" s="9"/>
      <c r="Q42" s="9" t="s">
        <v>57</v>
      </c>
      <c r="R42" s="9">
        <f t="shared" ref="R42:AB42" si="39">AVERAGE(R39:R41)</f>
        <v>100763</v>
      </c>
      <c r="S42" s="9">
        <f t="shared" si="39"/>
        <v>7247</v>
      </c>
      <c r="T42" s="9">
        <f t="shared" si="39"/>
        <v>75.333333333333329</v>
      </c>
      <c r="U42" s="9">
        <f t="shared" si="39"/>
        <v>45.333333333333336</v>
      </c>
      <c r="V42" s="9">
        <f t="shared" si="39"/>
        <v>121.33333333333333</v>
      </c>
      <c r="W42" s="9">
        <f t="shared" si="39"/>
        <v>27859</v>
      </c>
      <c r="X42" s="9">
        <f t="shared" si="39"/>
        <v>29176</v>
      </c>
      <c r="Y42" s="9">
        <f t="shared" si="39"/>
        <v>36239</v>
      </c>
      <c r="Z42" s="9">
        <f t="shared" si="39"/>
        <v>27934.333333333332</v>
      </c>
      <c r="AA42" s="9">
        <f t="shared" si="39"/>
        <v>29221.333333333332</v>
      </c>
      <c r="AB42" s="9">
        <f t="shared" si="39"/>
        <v>36360.333333333336</v>
      </c>
    </row>
    <row r="43" spans="1:28" x14ac:dyDescent="0.2">
      <c r="A43" s="11" t="s">
        <v>66</v>
      </c>
      <c r="B43" s="12">
        <v>8</v>
      </c>
      <c r="C43" s="12">
        <v>22144</v>
      </c>
      <c r="D43" s="13">
        <f>C43-E43-F43-G43-H43-I43-J43</f>
        <v>1993</v>
      </c>
      <c r="E43" s="12">
        <v>475</v>
      </c>
      <c r="F43" s="12">
        <v>323</v>
      </c>
      <c r="G43" s="12">
        <v>282</v>
      </c>
      <c r="H43" s="12">
        <v>7718</v>
      </c>
      <c r="I43" s="12">
        <v>6391</v>
      </c>
      <c r="J43" s="12">
        <v>4962</v>
      </c>
      <c r="K43" s="14">
        <f t="shared" ref="K43:M45" si="40">SUM(E43,H43)</f>
        <v>8193</v>
      </c>
      <c r="L43" s="14">
        <f t="shared" si="40"/>
        <v>6714</v>
      </c>
      <c r="M43" s="14">
        <f t="shared" si="40"/>
        <v>5244</v>
      </c>
      <c r="P43" s="11" t="s">
        <v>127</v>
      </c>
      <c r="Q43" s="12">
        <v>11</v>
      </c>
      <c r="R43" s="12">
        <v>88962</v>
      </c>
      <c r="S43" s="13">
        <f>R43-T43-U43-V43-W43-X43-Y43</f>
        <v>5792</v>
      </c>
      <c r="T43" s="12">
        <v>12</v>
      </c>
      <c r="U43" s="12">
        <v>170</v>
      </c>
      <c r="V43" s="12">
        <v>214</v>
      </c>
      <c r="W43" s="12">
        <v>22335</v>
      </c>
      <c r="X43" s="12">
        <v>34925</v>
      </c>
      <c r="Y43" s="12">
        <v>25514</v>
      </c>
      <c r="Z43" s="14">
        <f t="shared" ref="Z43:AB45" si="41">SUM(T43,W43)</f>
        <v>22347</v>
      </c>
      <c r="AA43" s="14">
        <f t="shared" si="41"/>
        <v>35095</v>
      </c>
      <c r="AB43" s="14">
        <f t="shared" si="41"/>
        <v>25728</v>
      </c>
    </row>
    <row r="44" spans="1:28" x14ac:dyDescent="0.2">
      <c r="A44" s="15" t="s">
        <v>66</v>
      </c>
      <c r="B44" s="9">
        <v>7</v>
      </c>
      <c r="C44" s="9">
        <v>36787</v>
      </c>
      <c r="D44" s="16">
        <f>C44-E44-F44-G44-H44-I44-J44</f>
        <v>2726</v>
      </c>
      <c r="E44" s="9">
        <v>715</v>
      </c>
      <c r="F44" s="9">
        <v>479</v>
      </c>
      <c r="G44" s="9">
        <v>412</v>
      </c>
      <c r="H44" s="9">
        <v>13578</v>
      </c>
      <c r="I44" s="9">
        <v>11039</v>
      </c>
      <c r="J44" s="9">
        <v>7838</v>
      </c>
      <c r="K44" s="17">
        <f t="shared" si="40"/>
        <v>14293</v>
      </c>
      <c r="L44" s="17">
        <f t="shared" si="40"/>
        <v>11518</v>
      </c>
      <c r="M44" s="17">
        <f t="shared" si="40"/>
        <v>8250</v>
      </c>
      <c r="P44" s="15" t="s">
        <v>127</v>
      </c>
      <c r="Q44" s="9">
        <v>9</v>
      </c>
      <c r="R44" s="9">
        <v>86309</v>
      </c>
      <c r="S44" s="16">
        <f>R44-T44-U44-V44-W44-X44-Y44</f>
        <v>4713</v>
      </c>
      <c r="T44" s="9">
        <v>13</v>
      </c>
      <c r="U44" s="9">
        <v>209</v>
      </c>
      <c r="V44" s="9">
        <v>202</v>
      </c>
      <c r="W44" s="9">
        <v>22341</v>
      </c>
      <c r="X44" s="9">
        <v>33799</v>
      </c>
      <c r="Y44" s="9">
        <v>25032</v>
      </c>
      <c r="Z44" s="17">
        <f t="shared" si="41"/>
        <v>22354</v>
      </c>
      <c r="AA44" s="17">
        <f t="shared" si="41"/>
        <v>34008</v>
      </c>
      <c r="AB44" s="17">
        <f t="shared" si="41"/>
        <v>25234</v>
      </c>
    </row>
    <row r="45" spans="1:28" ht="17" thickBot="1" x14ac:dyDescent="0.25">
      <c r="A45" s="18" t="s">
        <v>66</v>
      </c>
      <c r="B45" s="19">
        <v>10</v>
      </c>
      <c r="C45" s="19">
        <v>18557</v>
      </c>
      <c r="D45" s="20">
        <f>C45-E45-F45-G45-H45-I45-J45</f>
        <v>2309</v>
      </c>
      <c r="E45" s="19">
        <v>251</v>
      </c>
      <c r="F45" s="19">
        <v>132</v>
      </c>
      <c r="G45" s="19">
        <v>164</v>
      </c>
      <c r="H45" s="19">
        <v>7269</v>
      </c>
      <c r="I45" s="19">
        <v>4939</v>
      </c>
      <c r="J45" s="19">
        <v>3493</v>
      </c>
      <c r="K45" s="21">
        <f t="shared" si="40"/>
        <v>7520</v>
      </c>
      <c r="L45" s="21">
        <f t="shared" si="40"/>
        <v>5071</v>
      </c>
      <c r="M45" s="21">
        <f t="shared" si="40"/>
        <v>3657</v>
      </c>
      <c r="P45" s="18" t="s">
        <v>127</v>
      </c>
      <c r="Q45" s="19">
        <v>13</v>
      </c>
      <c r="R45" s="19">
        <v>68745</v>
      </c>
      <c r="S45" s="20">
        <f>R45-T45-U45-V45-W45-X45-Y45</f>
        <v>6260</v>
      </c>
      <c r="T45" s="19">
        <v>7</v>
      </c>
      <c r="U45" s="19">
        <v>110</v>
      </c>
      <c r="V45" s="19">
        <v>150</v>
      </c>
      <c r="W45" s="19">
        <v>15847</v>
      </c>
      <c r="X45" s="19">
        <v>26079</v>
      </c>
      <c r="Y45" s="19">
        <v>20292</v>
      </c>
      <c r="Z45" s="21">
        <f t="shared" si="41"/>
        <v>15854</v>
      </c>
      <c r="AA45" s="21">
        <f t="shared" si="41"/>
        <v>26189</v>
      </c>
      <c r="AB45" s="21">
        <f t="shared" si="41"/>
        <v>20442</v>
      </c>
    </row>
    <row r="46" spans="1:28" ht="17" thickBot="1" x14ac:dyDescent="0.25">
      <c r="A46" s="9"/>
      <c r="B46" s="9" t="s">
        <v>57</v>
      </c>
      <c r="C46" s="9">
        <f t="shared" ref="C46:M46" si="42">AVERAGE(C43:C45)</f>
        <v>25829.333333333332</v>
      </c>
      <c r="D46" s="9">
        <f t="shared" si="42"/>
        <v>2342.6666666666665</v>
      </c>
      <c r="E46" s="9">
        <f t="shared" si="42"/>
        <v>480.33333333333331</v>
      </c>
      <c r="F46" s="9">
        <f t="shared" si="42"/>
        <v>311.33333333333331</v>
      </c>
      <c r="G46" s="9">
        <f t="shared" si="42"/>
        <v>286</v>
      </c>
      <c r="H46" s="9">
        <f t="shared" si="42"/>
        <v>9521.6666666666661</v>
      </c>
      <c r="I46" s="9">
        <f t="shared" si="42"/>
        <v>7456.333333333333</v>
      </c>
      <c r="J46" s="9">
        <f t="shared" si="42"/>
        <v>5431</v>
      </c>
      <c r="K46" s="9">
        <f t="shared" si="42"/>
        <v>10002</v>
      </c>
      <c r="L46" s="9">
        <f t="shared" si="42"/>
        <v>7767.666666666667</v>
      </c>
      <c r="M46" s="9">
        <f t="shared" si="42"/>
        <v>5717</v>
      </c>
      <c r="P46" s="9"/>
      <c r="Q46" s="9" t="s">
        <v>57</v>
      </c>
      <c r="R46" s="9">
        <f t="shared" ref="R46:AB46" si="43">AVERAGE(R43:R45)</f>
        <v>81338.666666666672</v>
      </c>
      <c r="S46" s="9">
        <f t="shared" si="43"/>
        <v>5588.333333333333</v>
      </c>
      <c r="T46" s="9">
        <f t="shared" si="43"/>
        <v>10.666666666666666</v>
      </c>
      <c r="U46" s="9">
        <f t="shared" si="43"/>
        <v>163</v>
      </c>
      <c r="V46" s="9">
        <f t="shared" si="43"/>
        <v>188.66666666666666</v>
      </c>
      <c r="W46" s="9">
        <f t="shared" si="43"/>
        <v>20174.333333333332</v>
      </c>
      <c r="X46" s="9">
        <f t="shared" si="43"/>
        <v>31601</v>
      </c>
      <c r="Y46" s="9">
        <f t="shared" si="43"/>
        <v>23612.666666666668</v>
      </c>
      <c r="Z46" s="9">
        <f t="shared" si="43"/>
        <v>20185</v>
      </c>
      <c r="AA46" s="9">
        <f t="shared" si="43"/>
        <v>31764</v>
      </c>
      <c r="AB46" s="9">
        <f t="shared" si="43"/>
        <v>23801.333333333332</v>
      </c>
    </row>
    <row r="47" spans="1:28" x14ac:dyDescent="0.2">
      <c r="A47" s="11" t="s">
        <v>67</v>
      </c>
      <c r="B47" s="12">
        <v>5</v>
      </c>
      <c r="C47" s="12">
        <v>38879</v>
      </c>
      <c r="D47" s="13">
        <f>C47-E47-F47-G47-H47-I47-J47</f>
        <v>3778</v>
      </c>
      <c r="E47" s="12">
        <v>674</v>
      </c>
      <c r="F47" s="12">
        <v>268</v>
      </c>
      <c r="G47" s="12">
        <v>388</v>
      </c>
      <c r="H47" s="12">
        <v>15495</v>
      </c>
      <c r="I47" s="12">
        <v>9245</v>
      </c>
      <c r="J47" s="12">
        <v>9031</v>
      </c>
      <c r="K47" s="14">
        <f t="shared" ref="K47:M49" si="44">SUM(E47,H47)</f>
        <v>16169</v>
      </c>
      <c r="L47" s="14">
        <f t="shared" si="44"/>
        <v>9513</v>
      </c>
      <c r="M47" s="14">
        <f t="shared" si="44"/>
        <v>9419</v>
      </c>
      <c r="P47" s="11" t="s">
        <v>129</v>
      </c>
      <c r="Q47" s="12">
        <v>10</v>
      </c>
      <c r="R47" s="12">
        <v>44763</v>
      </c>
      <c r="S47" s="13">
        <f>R47-T47-U47-V47-W47-X47-Y47</f>
        <v>4818</v>
      </c>
      <c r="T47" s="12">
        <v>3</v>
      </c>
      <c r="U47" s="12">
        <v>113</v>
      </c>
      <c r="V47" s="12">
        <v>43</v>
      </c>
      <c r="W47" s="12">
        <v>9466</v>
      </c>
      <c r="X47" s="12">
        <v>18659</v>
      </c>
      <c r="Y47" s="12">
        <v>11661</v>
      </c>
      <c r="Z47" s="14">
        <f t="shared" ref="Z47:AB49" si="45">SUM(T47,W47)</f>
        <v>9469</v>
      </c>
      <c r="AA47" s="14">
        <f t="shared" si="45"/>
        <v>18772</v>
      </c>
      <c r="AB47" s="14">
        <f t="shared" si="45"/>
        <v>11704</v>
      </c>
    </row>
    <row r="48" spans="1:28" x14ac:dyDescent="0.2">
      <c r="A48" s="15" t="s">
        <v>67</v>
      </c>
      <c r="B48" s="9">
        <v>8</v>
      </c>
      <c r="C48" s="9">
        <v>46684</v>
      </c>
      <c r="D48" s="16">
        <f>C48-E48-F48-G48-H48-I48-J48</f>
        <v>3599</v>
      </c>
      <c r="E48" s="9">
        <v>828</v>
      </c>
      <c r="F48" s="9">
        <v>328</v>
      </c>
      <c r="G48" s="9">
        <v>538</v>
      </c>
      <c r="H48" s="9">
        <v>18915</v>
      </c>
      <c r="I48" s="9">
        <v>11170</v>
      </c>
      <c r="J48" s="9">
        <v>11306</v>
      </c>
      <c r="K48" s="17">
        <f t="shared" si="44"/>
        <v>19743</v>
      </c>
      <c r="L48" s="17">
        <f t="shared" si="44"/>
        <v>11498</v>
      </c>
      <c r="M48" s="17">
        <f t="shared" si="44"/>
        <v>11844</v>
      </c>
      <c r="P48" s="15" t="s">
        <v>129</v>
      </c>
      <c r="Q48" s="9">
        <v>12</v>
      </c>
      <c r="R48" s="9">
        <v>34638</v>
      </c>
      <c r="S48" s="16">
        <f>R48-T48-U48-V48-W48-X48-Y48</f>
        <v>4930</v>
      </c>
      <c r="T48" s="9">
        <v>4</v>
      </c>
      <c r="U48" s="9">
        <v>62</v>
      </c>
      <c r="V48" s="9">
        <v>29</v>
      </c>
      <c r="W48" s="9">
        <v>6939</v>
      </c>
      <c r="X48" s="9">
        <v>13602</v>
      </c>
      <c r="Y48" s="9">
        <v>9072</v>
      </c>
      <c r="Z48" s="17">
        <f t="shared" si="45"/>
        <v>6943</v>
      </c>
      <c r="AA48" s="17">
        <f t="shared" si="45"/>
        <v>13664</v>
      </c>
      <c r="AB48" s="17">
        <f t="shared" si="45"/>
        <v>9101</v>
      </c>
    </row>
    <row r="49" spans="1:28" ht="17" thickBot="1" x14ac:dyDescent="0.25">
      <c r="A49" s="18" t="s">
        <v>67</v>
      </c>
      <c r="B49" s="19">
        <v>12</v>
      </c>
      <c r="C49" s="19">
        <v>15397</v>
      </c>
      <c r="D49" s="20">
        <f>C49-E49-F49-G49-H49-I49-J49</f>
        <v>1534</v>
      </c>
      <c r="E49" s="19">
        <v>184</v>
      </c>
      <c r="F49" s="19">
        <v>29</v>
      </c>
      <c r="G49" s="19">
        <v>133</v>
      </c>
      <c r="H49" s="19">
        <v>6619</v>
      </c>
      <c r="I49" s="19">
        <v>2713</v>
      </c>
      <c r="J49" s="19">
        <v>4185</v>
      </c>
      <c r="K49" s="21">
        <f t="shared" si="44"/>
        <v>6803</v>
      </c>
      <c r="L49" s="21">
        <f t="shared" si="44"/>
        <v>2742</v>
      </c>
      <c r="M49" s="21">
        <f t="shared" si="44"/>
        <v>4318</v>
      </c>
      <c r="P49" s="18" t="s">
        <v>129</v>
      </c>
      <c r="Q49" s="19">
        <v>8</v>
      </c>
      <c r="R49" s="19">
        <v>39600</v>
      </c>
      <c r="S49" s="20">
        <f>R49-T49-U49-V49-W49-X49-Y49</f>
        <v>3682</v>
      </c>
      <c r="T49" s="19">
        <v>3</v>
      </c>
      <c r="U49" s="19">
        <v>85</v>
      </c>
      <c r="V49" s="19">
        <v>46</v>
      </c>
      <c r="W49" s="19">
        <v>8754</v>
      </c>
      <c r="X49" s="19">
        <v>16397</v>
      </c>
      <c r="Y49" s="19">
        <v>10633</v>
      </c>
      <c r="Z49" s="21">
        <f t="shared" si="45"/>
        <v>8757</v>
      </c>
      <c r="AA49" s="21">
        <f t="shared" si="45"/>
        <v>16482</v>
      </c>
      <c r="AB49" s="21">
        <f t="shared" si="45"/>
        <v>10679</v>
      </c>
    </row>
    <row r="50" spans="1:28" ht="17" thickBot="1" x14ac:dyDescent="0.25">
      <c r="A50" s="9"/>
      <c r="B50" s="9" t="s">
        <v>57</v>
      </c>
      <c r="C50" s="9">
        <f t="shared" ref="C50:M50" si="46">AVERAGE(C47:C49)</f>
        <v>33653.333333333336</v>
      </c>
      <c r="D50" s="9">
        <f t="shared" si="46"/>
        <v>2970.3333333333335</v>
      </c>
      <c r="E50" s="9">
        <f t="shared" si="46"/>
        <v>562</v>
      </c>
      <c r="F50" s="9">
        <f t="shared" si="46"/>
        <v>208.33333333333334</v>
      </c>
      <c r="G50" s="9">
        <f t="shared" si="46"/>
        <v>353</v>
      </c>
      <c r="H50" s="9">
        <f t="shared" si="46"/>
        <v>13676.333333333334</v>
      </c>
      <c r="I50" s="9">
        <f t="shared" si="46"/>
        <v>7709.333333333333</v>
      </c>
      <c r="J50" s="9">
        <f t="shared" si="46"/>
        <v>8174</v>
      </c>
      <c r="K50" s="9">
        <f t="shared" si="46"/>
        <v>14238.333333333334</v>
      </c>
      <c r="L50" s="9">
        <f t="shared" si="46"/>
        <v>7917.666666666667</v>
      </c>
      <c r="M50" s="9">
        <f t="shared" si="46"/>
        <v>8527</v>
      </c>
      <c r="P50" s="9"/>
      <c r="Q50" s="9" t="s">
        <v>57</v>
      </c>
      <c r="R50" s="9">
        <f t="shared" ref="R50:AB50" si="47">AVERAGE(R47:R49)</f>
        <v>39667</v>
      </c>
      <c r="S50" s="9">
        <f t="shared" si="47"/>
        <v>4476.666666666667</v>
      </c>
      <c r="T50" s="9">
        <f t="shared" si="47"/>
        <v>3.3333333333333335</v>
      </c>
      <c r="U50" s="9">
        <f t="shared" si="47"/>
        <v>86.666666666666671</v>
      </c>
      <c r="V50" s="9">
        <f t="shared" si="47"/>
        <v>39.333333333333336</v>
      </c>
      <c r="W50" s="9">
        <f t="shared" si="47"/>
        <v>8386.3333333333339</v>
      </c>
      <c r="X50" s="9">
        <f t="shared" si="47"/>
        <v>16219.333333333334</v>
      </c>
      <c r="Y50" s="9">
        <f t="shared" si="47"/>
        <v>10455.333333333334</v>
      </c>
      <c r="Z50" s="9">
        <f t="shared" si="47"/>
        <v>8389.6666666666661</v>
      </c>
      <c r="AA50" s="9">
        <f t="shared" si="47"/>
        <v>16306</v>
      </c>
      <c r="AB50" s="9">
        <f t="shared" si="47"/>
        <v>10494.666666666666</v>
      </c>
    </row>
    <row r="51" spans="1:28" x14ac:dyDescent="0.2">
      <c r="A51" s="11" t="s">
        <v>68</v>
      </c>
      <c r="B51" s="12">
        <v>7</v>
      </c>
      <c r="C51" s="12">
        <v>79312</v>
      </c>
      <c r="D51" s="13">
        <f>C51-E51-F51-G51-H51-I51-J51</f>
        <v>5030</v>
      </c>
      <c r="E51" s="12">
        <v>1652</v>
      </c>
      <c r="F51" s="12">
        <v>1413</v>
      </c>
      <c r="G51" s="12">
        <v>1161</v>
      </c>
      <c r="H51" s="12">
        <v>29928</v>
      </c>
      <c r="I51" s="12">
        <v>23849</v>
      </c>
      <c r="J51" s="12">
        <v>16279</v>
      </c>
      <c r="K51" s="14">
        <f t="shared" ref="K51:M53" si="48">SUM(E51,H51)</f>
        <v>31580</v>
      </c>
      <c r="L51" s="14">
        <f t="shared" si="48"/>
        <v>25262</v>
      </c>
      <c r="M51" s="14">
        <f t="shared" si="48"/>
        <v>17440</v>
      </c>
      <c r="P51" s="11" t="s">
        <v>131</v>
      </c>
      <c r="Q51" s="12">
        <v>10</v>
      </c>
      <c r="R51" s="12">
        <v>56487</v>
      </c>
      <c r="S51" s="13">
        <f>R51-T51-U51-V51-W51-X51-Y51</f>
        <v>5581</v>
      </c>
      <c r="T51" s="12">
        <v>18</v>
      </c>
      <c r="U51" s="12">
        <v>65</v>
      </c>
      <c r="V51" s="12">
        <v>256</v>
      </c>
      <c r="W51" s="12">
        <v>16508</v>
      </c>
      <c r="X51" s="12">
        <v>17497</v>
      </c>
      <c r="Y51" s="12">
        <v>16562</v>
      </c>
      <c r="Z51" s="14">
        <f t="shared" ref="Z51:AB53" si="49">SUM(T51,W51)</f>
        <v>16526</v>
      </c>
      <c r="AA51" s="14">
        <f t="shared" si="49"/>
        <v>17562</v>
      </c>
      <c r="AB51" s="14">
        <f t="shared" si="49"/>
        <v>16818</v>
      </c>
    </row>
    <row r="52" spans="1:28" x14ac:dyDescent="0.2">
      <c r="A52" s="15" t="s">
        <v>68</v>
      </c>
      <c r="B52" s="9">
        <v>9</v>
      </c>
      <c r="C52" s="9">
        <v>31006</v>
      </c>
      <c r="D52" s="16">
        <f>C52-E52-F52-G52-H52-I52-J52</f>
        <v>2949</v>
      </c>
      <c r="E52" s="9">
        <v>323</v>
      </c>
      <c r="F52" s="9">
        <v>129</v>
      </c>
      <c r="G52" s="9">
        <v>382</v>
      </c>
      <c r="H52" s="9">
        <v>12267</v>
      </c>
      <c r="I52" s="9">
        <v>8528</v>
      </c>
      <c r="J52" s="9">
        <v>6428</v>
      </c>
      <c r="K52" s="17">
        <f t="shared" si="48"/>
        <v>12590</v>
      </c>
      <c r="L52" s="17">
        <f t="shared" si="48"/>
        <v>8657</v>
      </c>
      <c r="M52" s="17">
        <f t="shared" si="48"/>
        <v>6810</v>
      </c>
      <c r="P52" s="15" t="s">
        <v>131</v>
      </c>
      <c r="Q52" s="9">
        <v>8</v>
      </c>
      <c r="R52" s="9">
        <v>47567</v>
      </c>
      <c r="S52" s="16">
        <f>R52-T52-U52-V52-W52-X52-Y52</f>
        <v>4986</v>
      </c>
      <c r="T52" s="9">
        <v>27</v>
      </c>
      <c r="U52" s="9">
        <v>57</v>
      </c>
      <c r="V52" s="9">
        <v>146</v>
      </c>
      <c r="W52" s="9">
        <v>14055</v>
      </c>
      <c r="X52" s="9">
        <v>15610</v>
      </c>
      <c r="Y52" s="9">
        <v>12686</v>
      </c>
      <c r="Z52" s="17">
        <f t="shared" si="49"/>
        <v>14082</v>
      </c>
      <c r="AA52" s="17">
        <f t="shared" si="49"/>
        <v>15667</v>
      </c>
      <c r="AB52" s="17">
        <f t="shared" si="49"/>
        <v>12832</v>
      </c>
    </row>
    <row r="53" spans="1:28" ht="17" thickBot="1" x14ac:dyDescent="0.25">
      <c r="A53" s="18" t="s">
        <v>68</v>
      </c>
      <c r="B53" s="19">
        <v>5</v>
      </c>
      <c r="C53" s="19">
        <v>89027</v>
      </c>
      <c r="D53" s="20">
        <f>C53-E53-F53-G53-H53-I53-J53</f>
        <v>4188</v>
      </c>
      <c r="E53" s="19">
        <v>2414</v>
      </c>
      <c r="F53" s="19">
        <v>2180</v>
      </c>
      <c r="G53" s="19">
        <v>1670</v>
      </c>
      <c r="H53" s="19">
        <v>32408</v>
      </c>
      <c r="I53" s="19">
        <v>27274</v>
      </c>
      <c r="J53" s="19">
        <v>18893</v>
      </c>
      <c r="K53" s="21">
        <f t="shared" si="48"/>
        <v>34822</v>
      </c>
      <c r="L53" s="21">
        <f t="shared" si="48"/>
        <v>29454</v>
      </c>
      <c r="M53" s="21">
        <f t="shared" si="48"/>
        <v>20563</v>
      </c>
      <c r="P53" s="18" t="s">
        <v>131</v>
      </c>
      <c r="Q53" s="19">
        <v>14</v>
      </c>
      <c r="R53" s="19">
        <v>32060</v>
      </c>
      <c r="S53" s="20">
        <f>R53-T53-U53-V53-W53-X53-Y53</f>
        <v>3719</v>
      </c>
      <c r="T53" s="19">
        <v>18</v>
      </c>
      <c r="U53" s="19">
        <v>30</v>
      </c>
      <c r="V53" s="19">
        <v>103</v>
      </c>
      <c r="W53" s="19">
        <v>9329</v>
      </c>
      <c r="X53" s="19">
        <v>9570</v>
      </c>
      <c r="Y53" s="19">
        <v>9291</v>
      </c>
      <c r="Z53" s="21">
        <f t="shared" si="49"/>
        <v>9347</v>
      </c>
      <c r="AA53" s="21">
        <f t="shared" si="49"/>
        <v>9600</v>
      </c>
      <c r="AB53" s="21">
        <f t="shared" si="49"/>
        <v>9394</v>
      </c>
    </row>
    <row r="54" spans="1:28" ht="17" thickBot="1" x14ac:dyDescent="0.25">
      <c r="A54" s="9"/>
      <c r="B54" s="9" t="s">
        <v>57</v>
      </c>
      <c r="C54" s="9">
        <f t="shared" ref="C54:M54" si="50">AVERAGE(C51:C53)</f>
        <v>66448.333333333328</v>
      </c>
      <c r="D54" s="9">
        <f t="shared" si="50"/>
        <v>4055.6666666666665</v>
      </c>
      <c r="E54" s="9">
        <f t="shared" si="50"/>
        <v>1463</v>
      </c>
      <c r="F54" s="9">
        <f t="shared" si="50"/>
        <v>1240.6666666666667</v>
      </c>
      <c r="G54" s="9">
        <f t="shared" si="50"/>
        <v>1071</v>
      </c>
      <c r="H54" s="9">
        <f t="shared" si="50"/>
        <v>24867.666666666668</v>
      </c>
      <c r="I54" s="9">
        <f t="shared" si="50"/>
        <v>19883.666666666668</v>
      </c>
      <c r="J54" s="9">
        <f t="shared" si="50"/>
        <v>13866.666666666666</v>
      </c>
      <c r="K54" s="9">
        <f t="shared" si="50"/>
        <v>26330.666666666668</v>
      </c>
      <c r="L54" s="9">
        <f t="shared" si="50"/>
        <v>21124.333333333332</v>
      </c>
      <c r="M54" s="9">
        <f t="shared" si="50"/>
        <v>14937.666666666666</v>
      </c>
      <c r="P54" s="9"/>
      <c r="Q54" s="9" t="s">
        <v>57</v>
      </c>
      <c r="R54" s="9">
        <f t="shared" ref="R54:AB54" si="51">AVERAGE(R51:R53)</f>
        <v>45371.333333333336</v>
      </c>
      <c r="S54" s="9">
        <f t="shared" si="51"/>
        <v>4762</v>
      </c>
      <c r="T54" s="9">
        <f t="shared" si="51"/>
        <v>21</v>
      </c>
      <c r="U54" s="9">
        <f t="shared" si="51"/>
        <v>50.666666666666664</v>
      </c>
      <c r="V54" s="9">
        <f t="shared" si="51"/>
        <v>168.33333333333334</v>
      </c>
      <c r="W54" s="9">
        <f t="shared" si="51"/>
        <v>13297.333333333334</v>
      </c>
      <c r="X54" s="9">
        <f t="shared" si="51"/>
        <v>14225.666666666666</v>
      </c>
      <c r="Y54" s="9">
        <f t="shared" si="51"/>
        <v>12846.333333333334</v>
      </c>
      <c r="Z54" s="9">
        <f t="shared" si="51"/>
        <v>13318.333333333334</v>
      </c>
      <c r="AA54" s="9">
        <f t="shared" si="51"/>
        <v>14276.333333333334</v>
      </c>
      <c r="AB54" s="9">
        <f t="shared" si="51"/>
        <v>13014.666666666666</v>
      </c>
    </row>
    <row r="55" spans="1:28" x14ac:dyDescent="0.2">
      <c r="A55" s="11" t="s">
        <v>71</v>
      </c>
      <c r="B55" s="12">
        <v>8</v>
      </c>
      <c r="C55" s="12">
        <v>74829</v>
      </c>
      <c r="D55" s="13">
        <f>C55-E55-F55-G55-H55-I55-J55</f>
        <v>5370</v>
      </c>
      <c r="E55" s="12">
        <v>1651</v>
      </c>
      <c r="F55" s="12">
        <v>815</v>
      </c>
      <c r="G55" s="12">
        <v>517</v>
      </c>
      <c r="H55" s="12">
        <v>26527</v>
      </c>
      <c r="I55" s="12">
        <v>25356</v>
      </c>
      <c r="J55" s="12">
        <v>14593</v>
      </c>
      <c r="K55" s="14">
        <f t="shared" ref="K55:M57" si="52">SUM(E55,H55)</f>
        <v>28178</v>
      </c>
      <c r="L55" s="14">
        <f t="shared" si="52"/>
        <v>26171</v>
      </c>
      <c r="M55" s="14">
        <f t="shared" si="52"/>
        <v>15110</v>
      </c>
      <c r="P55" s="11" t="s">
        <v>133</v>
      </c>
      <c r="Q55" s="12">
        <v>10</v>
      </c>
      <c r="R55" s="12">
        <v>64595</v>
      </c>
      <c r="S55" s="13">
        <f>R55-T55-U55-V55-W55-X55-Y55</f>
        <v>6325</v>
      </c>
      <c r="T55" s="12">
        <v>10</v>
      </c>
      <c r="U55" s="12">
        <v>106</v>
      </c>
      <c r="V55" s="12">
        <v>114</v>
      </c>
      <c r="W55" s="12">
        <v>17941</v>
      </c>
      <c r="X55" s="12">
        <v>24962</v>
      </c>
      <c r="Y55" s="12">
        <v>15137</v>
      </c>
      <c r="Z55" s="14">
        <f t="shared" ref="Z55:AB57" si="53">SUM(T55,W55)</f>
        <v>17951</v>
      </c>
      <c r="AA55" s="14">
        <f t="shared" si="53"/>
        <v>25068</v>
      </c>
      <c r="AB55" s="14">
        <f t="shared" si="53"/>
        <v>15251</v>
      </c>
    </row>
    <row r="56" spans="1:28" x14ac:dyDescent="0.2">
      <c r="A56" s="15" t="s">
        <v>71</v>
      </c>
      <c r="B56" s="9">
        <v>10</v>
      </c>
      <c r="C56" s="9">
        <v>58658</v>
      </c>
      <c r="D56" s="16">
        <f>C56-E56-F56-G56-H56-I56-J56</f>
        <v>3851</v>
      </c>
      <c r="E56" s="9">
        <v>1199</v>
      </c>
      <c r="F56" s="9">
        <v>487</v>
      </c>
      <c r="G56" s="9">
        <v>341</v>
      </c>
      <c r="H56" s="9">
        <v>22269</v>
      </c>
      <c r="I56" s="9">
        <v>19443</v>
      </c>
      <c r="J56" s="9">
        <v>11068</v>
      </c>
      <c r="K56" s="17">
        <f t="shared" si="52"/>
        <v>23468</v>
      </c>
      <c r="L56" s="17">
        <f t="shared" si="52"/>
        <v>19930</v>
      </c>
      <c r="M56" s="17">
        <f t="shared" si="52"/>
        <v>11409</v>
      </c>
      <c r="P56" s="15" t="s">
        <v>133</v>
      </c>
      <c r="Q56" s="9">
        <v>13</v>
      </c>
      <c r="R56" s="9">
        <v>44127</v>
      </c>
      <c r="S56" s="16">
        <f>R56-T56-U56-V56-W56-X56-Y56</f>
        <v>5904</v>
      </c>
      <c r="T56" s="9">
        <v>4</v>
      </c>
      <c r="U56" s="9">
        <v>55</v>
      </c>
      <c r="V56" s="9">
        <v>75</v>
      </c>
      <c r="W56" s="9">
        <v>11550</v>
      </c>
      <c r="X56" s="9">
        <v>16067</v>
      </c>
      <c r="Y56" s="9">
        <v>10472</v>
      </c>
      <c r="Z56" s="17">
        <f t="shared" si="53"/>
        <v>11554</v>
      </c>
      <c r="AA56" s="17">
        <f t="shared" si="53"/>
        <v>16122</v>
      </c>
      <c r="AB56" s="17">
        <f t="shared" si="53"/>
        <v>10547</v>
      </c>
    </row>
    <row r="57" spans="1:28" ht="17" thickBot="1" x14ac:dyDescent="0.25">
      <c r="A57" s="18" t="s">
        <v>71</v>
      </c>
      <c r="B57" s="19">
        <v>5</v>
      </c>
      <c r="C57" s="19">
        <v>62229</v>
      </c>
      <c r="D57" s="20">
        <f>C57-E57-F57-G57-H57-I57-J57</f>
        <v>6459</v>
      </c>
      <c r="E57" s="19">
        <v>1330</v>
      </c>
      <c r="F57" s="19">
        <v>727</v>
      </c>
      <c r="G57" s="19">
        <v>273</v>
      </c>
      <c r="H57" s="19">
        <v>22045</v>
      </c>
      <c r="I57" s="19">
        <v>21760</v>
      </c>
      <c r="J57" s="19">
        <v>9635</v>
      </c>
      <c r="K57" s="21">
        <f t="shared" si="52"/>
        <v>23375</v>
      </c>
      <c r="L57" s="21">
        <f t="shared" si="52"/>
        <v>22487</v>
      </c>
      <c r="M57" s="21">
        <f t="shared" si="52"/>
        <v>9908</v>
      </c>
      <c r="P57" s="18" t="s">
        <v>133</v>
      </c>
      <c r="Q57" s="19">
        <v>8</v>
      </c>
      <c r="R57" s="19">
        <v>53833</v>
      </c>
      <c r="S57" s="20">
        <f>R57-T57-U57-V57-W57-X57-Y57</f>
        <v>5283</v>
      </c>
      <c r="T57" s="19">
        <v>12</v>
      </c>
      <c r="U57" s="19">
        <v>93</v>
      </c>
      <c r="V57" s="19">
        <v>84</v>
      </c>
      <c r="W57" s="19">
        <v>15214</v>
      </c>
      <c r="X57" s="19">
        <v>20769</v>
      </c>
      <c r="Y57" s="19">
        <v>12378</v>
      </c>
      <c r="Z57" s="21">
        <f t="shared" si="53"/>
        <v>15226</v>
      </c>
      <c r="AA57" s="21">
        <f t="shared" si="53"/>
        <v>20862</v>
      </c>
      <c r="AB57" s="21">
        <f t="shared" si="53"/>
        <v>12462</v>
      </c>
    </row>
    <row r="58" spans="1:28" ht="17" thickBot="1" x14ac:dyDescent="0.25">
      <c r="A58" s="9"/>
      <c r="B58" s="9" t="s">
        <v>57</v>
      </c>
      <c r="C58" s="9">
        <f t="shared" ref="C58:M58" si="54">AVERAGE(C55:C57)</f>
        <v>65238.666666666664</v>
      </c>
      <c r="D58" s="9">
        <f t="shared" si="54"/>
        <v>5226.666666666667</v>
      </c>
      <c r="E58" s="9">
        <f t="shared" si="54"/>
        <v>1393.3333333333333</v>
      </c>
      <c r="F58" s="9">
        <f t="shared" si="54"/>
        <v>676.33333333333337</v>
      </c>
      <c r="G58" s="9">
        <f t="shared" si="54"/>
        <v>377</v>
      </c>
      <c r="H58" s="9">
        <f t="shared" si="54"/>
        <v>23613.666666666668</v>
      </c>
      <c r="I58" s="9">
        <f t="shared" si="54"/>
        <v>22186.333333333332</v>
      </c>
      <c r="J58" s="9">
        <f t="shared" si="54"/>
        <v>11765.333333333334</v>
      </c>
      <c r="K58" s="9">
        <f t="shared" si="54"/>
        <v>25007</v>
      </c>
      <c r="L58" s="9">
        <f t="shared" si="54"/>
        <v>22862.666666666668</v>
      </c>
      <c r="M58" s="9">
        <f t="shared" si="54"/>
        <v>12142.333333333334</v>
      </c>
      <c r="P58" s="9"/>
      <c r="Q58" s="9" t="s">
        <v>57</v>
      </c>
      <c r="R58" s="9">
        <f t="shared" ref="R58:AB58" si="55">AVERAGE(R55:R57)</f>
        <v>54185</v>
      </c>
      <c r="S58" s="9">
        <f t="shared" si="55"/>
        <v>5837.333333333333</v>
      </c>
      <c r="T58" s="9">
        <f t="shared" si="55"/>
        <v>8.6666666666666661</v>
      </c>
      <c r="U58" s="9">
        <f t="shared" si="55"/>
        <v>84.666666666666671</v>
      </c>
      <c r="V58" s="9">
        <f t="shared" si="55"/>
        <v>91</v>
      </c>
      <c r="W58" s="9">
        <f t="shared" si="55"/>
        <v>14901.666666666666</v>
      </c>
      <c r="X58" s="9">
        <f t="shared" si="55"/>
        <v>20599.333333333332</v>
      </c>
      <c r="Y58" s="9">
        <f t="shared" si="55"/>
        <v>12662.333333333334</v>
      </c>
      <c r="Z58" s="9">
        <f t="shared" si="55"/>
        <v>14910.333333333334</v>
      </c>
      <c r="AA58" s="9">
        <f t="shared" si="55"/>
        <v>20684</v>
      </c>
      <c r="AB58" s="9">
        <f t="shared" si="55"/>
        <v>12753.333333333334</v>
      </c>
    </row>
    <row r="59" spans="1:28" x14ac:dyDescent="0.2">
      <c r="A59" s="11" t="s">
        <v>73</v>
      </c>
      <c r="B59" s="12">
        <v>8</v>
      </c>
      <c r="C59" s="12">
        <v>67611</v>
      </c>
      <c r="D59" s="13">
        <f>C59-E59-F59-G59-H59-I59-J59</f>
        <v>5395</v>
      </c>
      <c r="E59" s="12">
        <v>1290</v>
      </c>
      <c r="F59" s="12">
        <v>524</v>
      </c>
      <c r="G59" s="12">
        <v>1569</v>
      </c>
      <c r="H59" s="12">
        <v>21512</v>
      </c>
      <c r="I59" s="12">
        <v>17471</v>
      </c>
      <c r="J59" s="12">
        <v>19850</v>
      </c>
      <c r="K59" s="14">
        <f t="shared" ref="K59:M61" si="56">SUM(E59,H59)</f>
        <v>22802</v>
      </c>
      <c r="L59" s="14">
        <f t="shared" si="56"/>
        <v>17995</v>
      </c>
      <c r="M59" s="14">
        <f t="shared" si="56"/>
        <v>21419</v>
      </c>
      <c r="P59" s="11" t="s">
        <v>135</v>
      </c>
      <c r="Q59" s="12">
        <v>11</v>
      </c>
      <c r="R59" s="12">
        <v>27933</v>
      </c>
      <c r="S59" s="13">
        <f>R59-T59-U59-V59-W59-X59-Y59</f>
        <v>4062</v>
      </c>
      <c r="T59" s="12">
        <v>3</v>
      </c>
      <c r="U59" s="12">
        <v>29</v>
      </c>
      <c r="V59" s="12">
        <v>15</v>
      </c>
      <c r="W59" s="12">
        <v>6374</v>
      </c>
      <c r="X59" s="12">
        <v>10089</v>
      </c>
      <c r="Y59" s="12">
        <v>7361</v>
      </c>
      <c r="Z59" s="14">
        <f t="shared" ref="Z59:AB61" si="57">SUM(T59,W59)</f>
        <v>6377</v>
      </c>
      <c r="AA59" s="14">
        <f t="shared" si="57"/>
        <v>10118</v>
      </c>
      <c r="AB59" s="14">
        <f t="shared" si="57"/>
        <v>7376</v>
      </c>
    </row>
    <row r="60" spans="1:28" x14ac:dyDescent="0.2">
      <c r="A60" s="15" t="s">
        <v>73</v>
      </c>
      <c r="B60" s="9">
        <v>10</v>
      </c>
      <c r="C60" s="9">
        <v>55679</v>
      </c>
      <c r="D60" s="16">
        <f>C60-E60-F60-G60-H60-I60-J60</f>
        <v>4682</v>
      </c>
      <c r="E60" s="9">
        <v>715</v>
      </c>
      <c r="F60" s="9">
        <v>359</v>
      </c>
      <c r="G60" s="9">
        <v>1195</v>
      </c>
      <c r="H60" s="9">
        <v>17772</v>
      </c>
      <c r="I60" s="9">
        <v>14300</v>
      </c>
      <c r="J60" s="9">
        <v>16656</v>
      </c>
      <c r="K60" s="17">
        <f t="shared" si="56"/>
        <v>18487</v>
      </c>
      <c r="L60" s="17">
        <f t="shared" si="56"/>
        <v>14659</v>
      </c>
      <c r="M60" s="17">
        <f t="shared" si="56"/>
        <v>17851</v>
      </c>
      <c r="P60" s="15" t="s">
        <v>135</v>
      </c>
      <c r="Q60" s="9">
        <v>8</v>
      </c>
      <c r="R60" s="9">
        <v>42022</v>
      </c>
      <c r="S60" s="16">
        <f>R60-T60-U60-V60-W60-X60-Y60</f>
        <v>3436</v>
      </c>
      <c r="T60" s="9">
        <v>8</v>
      </c>
      <c r="U60" s="9">
        <v>51</v>
      </c>
      <c r="V60" s="9">
        <v>16</v>
      </c>
      <c r="W60" s="9">
        <v>10491</v>
      </c>
      <c r="X60" s="9">
        <v>17822</v>
      </c>
      <c r="Y60" s="9">
        <v>10198</v>
      </c>
      <c r="Z60" s="17">
        <f t="shared" si="57"/>
        <v>10499</v>
      </c>
      <c r="AA60" s="17">
        <f t="shared" si="57"/>
        <v>17873</v>
      </c>
      <c r="AB60" s="17">
        <f t="shared" si="57"/>
        <v>10214</v>
      </c>
    </row>
    <row r="61" spans="1:28" ht="17" thickBot="1" x14ac:dyDescent="0.25">
      <c r="A61" s="18" t="s">
        <v>73</v>
      </c>
      <c r="B61" s="19">
        <v>6</v>
      </c>
      <c r="C61" s="19">
        <v>53385</v>
      </c>
      <c r="D61" s="20">
        <f>C61-E61-F61-G61-H61-I61-J61</f>
        <v>6084</v>
      </c>
      <c r="E61" s="19">
        <v>1030</v>
      </c>
      <c r="F61" s="19">
        <v>410</v>
      </c>
      <c r="G61" s="19">
        <v>1094</v>
      </c>
      <c r="H61" s="19">
        <v>16955</v>
      </c>
      <c r="I61" s="19">
        <v>13176</v>
      </c>
      <c r="J61" s="19">
        <v>14636</v>
      </c>
      <c r="K61" s="21">
        <f t="shared" si="56"/>
        <v>17985</v>
      </c>
      <c r="L61" s="21">
        <f t="shared" si="56"/>
        <v>13586</v>
      </c>
      <c r="M61" s="21">
        <f t="shared" si="56"/>
        <v>15730</v>
      </c>
      <c r="P61" s="18" t="s">
        <v>135</v>
      </c>
      <c r="Q61" s="19">
        <v>14</v>
      </c>
      <c r="R61" s="19">
        <v>25125</v>
      </c>
      <c r="S61" s="20">
        <f>R61-T61-U61-V61-W61-X61-Y61</f>
        <v>4220</v>
      </c>
      <c r="T61" s="19">
        <v>2</v>
      </c>
      <c r="U61" s="19">
        <v>22</v>
      </c>
      <c r="V61" s="19">
        <v>13</v>
      </c>
      <c r="W61" s="19">
        <v>5554</v>
      </c>
      <c r="X61" s="19">
        <v>9177</v>
      </c>
      <c r="Y61" s="19">
        <v>6137</v>
      </c>
      <c r="Z61" s="21">
        <f t="shared" si="57"/>
        <v>5556</v>
      </c>
      <c r="AA61" s="21">
        <f t="shared" si="57"/>
        <v>9199</v>
      </c>
      <c r="AB61" s="21">
        <f t="shared" si="57"/>
        <v>6150</v>
      </c>
    </row>
    <row r="62" spans="1:28" ht="17" thickBot="1" x14ac:dyDescent="0.25">
      <c r="B62" s="9" t="s">
        <v>57</v>
      </c>
      <c r="C62" s="9">
        <f t="shared" ref="C62:M62" si="58">AVERAGE(C59:C61)</f>
        <v>58891.666666666664</v>
      </c>
      <c r="D62" s="9">
        <f t="shared" si="58"/>
        <v>5387</v>
      </c>
      <c r="E62" s="9">
        <f t="shared" si="58"/>
        <v>1011.6666666666666</v>
      </c>
      <c r="F62" s="9">
        <f t="shared" si="58"/>
        <v>431</v>
      </c>
      <c r="G62" s="9">
        <f t="shared" si="58"/>
        <v>1286</v>
      </c>
      <c r="H62" s="9">
        <f t="shared" si="58"/>
        <v>18746.333333333332</v>
      </c>
      <c r="I62" s="9">
        <f t="shared" si="58"/>
        <v>14982.333333333334</v>
      </c>
      <c r="J62" s="9">
        <f t="shared" si="58"/>
        <v>17047.333333333332</v>
      </c>
      <c r="K62" s="9">
        <f t="shared" si="58"/>
        <v>19758</v>
      </c>
      <c r="L62" s="9">
        <f t="shared" si="58"/>
        <v>15413.333333333334</v>
      </c>
      <c r="M62" s="9">
        <f t="shared" si="58"/>
        <v>18333.333333333332</v>
      </c>
      <c r="Q62" s="9" t="s">
        <v>57</v>
      </c>
      <c r="R62" s="9">
        <f t="shared" ref="R62:AB62" si="59">AVERAGE(R59:R61)</f>
        <v>31693.333333333332</v>
      </c>
      <c r="S62" s="9">
        <f t="shared" si="59"/>
        <v>3906</v>
      </c>
      <c r="T62" s="9">
        <f t="shared" si="59"/>
        <v>4.333333333333333</v>
      </c>
      <c r="U62" s="9">
        <f t="shared" si="59"/>
        <v>34</v>
      </c>
      <c r="V62" s="9">
        <f t="shared" si="59"/>
        <v>14.666666666666666</v>
      </c>
      <c r="W62" s="9">
        <f t="shared" si="59"/>
        <v>7473</v>
      </c>
      <c r="X62" s="9">
        <f t="shared" si="59"/>
        <v>12362.666666666666</v>
      </c>
      <c r="Y62" s="9">
        <f t="shared" si="59"/>
        <v>7898.666666666667</v>
      </c>
      <c r="Z62" s="9">
        <f t="shared" si="59"/>
        <v>7477.333333333333</v>
      </c>
      <c r="AA62" s="9">
        <f t="shared" si="59"/>
        <v>12396.666666666666</v>
      </c>
      <c r="AB62" s="9">
        <f t="shared" si="59"/>
        <v>7913.333333333333</v>
      </c>
    </row>
    <row r="63" spans="1:28" x14ac:dyDescent="0.2">
      <c r="A63" s="11" t="s">
        <v>69</v>
      </c>
      <c r="B63" s="12">
        <v>7</v>
      </c>
      <c r="C63" s="12">
        <v>35305</v>
      </c>
      <c r="D63" s="13">
        <f>C63-E63-F63-G63-H63-I63-J63</f>
        <v>2165</v>
      </c>
      <c r="E63" s="12">
        <v>582</v>
      </c>
      <c r="F63" s="12">
        <v>508</v>
      </c>
      <c r="G63" s="12">
        <v>814</v>
      </c>
      <c r="H63" s="12">
        <v>9852</v>
      </c>
      <c r="I63" s="12">
        <v>11352</v>
      </c>
      <c r="J63" s="12">
        <v>10032</v>
      </c>
      <c r="K63" s="14">
        <f t="shared" ref="K63:M65" si="60">SUM(E63,H63)</f>
        <v>10434</v>
      </c>
      <c r="L63" s="14">
        <f t="shared" si="60"/>
        <v>11860</v>
      </c>
      <c r="M63" s="14">
        <f t="shared" si="60"/>
        <v>10846</v>
      </c>
      <c r="P63" s="11" t="s">
        <v>128</v>
      </c>
      <c r="Q63" s="12">
        <v>12</v>
      </c>
      <c r="R63" s="12">
        <v>29222</v>
      </c>
      <c r="S63" s="13">
        <f>R63-T63-U63-V63-W63-X63-Y63</f>
        <v>2567</v>
      </c>
      <c r="T63" s="12">
        <v>9</v>
      </c>
      <c r="U63" s="12">
        <v>33</v>
      </c>
      <c r="V63" s="12">
        <v>37</v>
      </c>
      <c r="W63" s="12">
        <v>9314</v>
      </c>
      <c r="X63" s="12">
        <v>8564</v>
      </c>
      <c r="Y63" s="12">
        <v>8698</v>
      </c>
      <c r="Z63" s="14">
        <f t="shared" ref="Z63:AB65" si="61">SUM(T63,W63)</f>
        <v>9323</v>
      </c>
      <c r="AA63" s="14">
        <f t="shared" si="61"/>
        <v>8597</v>
      </c>
      <c r="AB63" s="14">
        <f t="shared" si="61"/>
        <v>8735</v>
      </c>
    </row>
    <row r="64" spans="1:28" x14ac:dyDescent="0.2">
      <c r="A64" s="15" t="s">
        <v>69</v>
      </c>
      <c r="B64" s="9">
        <v>8</v>
      </c>
      <c r="C64" s="9">
        <v>22568</v>
      </c>
      <c r="D64" s="16">
        <f>C64-E64-F64-G64-H64-I64-J64</f>
        <v>1434</v>
      </c>
      <c r="E64" s="9">
        <v>470</v>
      </c>
      <c r="F64" s="9">
        <v>312</v>
      </c>
      <c r="G64" s="9">
        <v>419</v>
      </c>
      <c r="H64" s="9">
        <v>6554</v>
      </c>
      <c r="I64" s="9">
        <v>7623</v>
      </c>
      <c r="J64" s="9">
        <v>5756</v>
      </c>
      <c r="K64" s="17">
        <f t="shared" si="60"/>
        <v>7024</v>
      </c>
      <c r="L64" s="17">
        <f t="shared" si="60"/>
        <v>7935</v>
      </c>
      <c r="M64" s="17">
        <f t="shared" si="60"/>
        <v>6175</v>
      </c>
      <c r="P64" s="15" t="s">
        <v>128</v>
      </c>
      <c r="Q64" s="9">
        <v>21</v>
      </c>
      <c r="R64" s="9">
        <v>51005</v>
      </c>
      <c r="S64" s="16">
        <f>R64-T64-U64-V64-W64-X64-Y64</f>
        <v>3443</v>
      </c>
      <c r="T64" s="9">
        <v>22</v>
      </c>
      <c r="U64" s="9">
        <v>71</v>
      </c>
      <c r="V64" s="9">
        <v>25</v>
      </c>
      <c r="W64" s="9">
        <v>18111</v>
      </c>
      <c r="X64" s="9">
        <v>19328</v>
      </c>
      <c r="Y64" s="9">
        <v>10005</v>
      </c>
      <c r="Z64" s="17">
        <f t="shared" si="61"/>
        <v>18133</v>
      </c>
      <c r="AA64" s="17">
        <f t="shared" si="61"/>
        <v>19399</v>
      </c>
      <c r="AB64" s="17">
        <f t="shared" si="61"/>
        <v>10030</v>
      </c>
    </row>
    <row r="65" spans="1:28" ht="17" thickBot="1" x14ac:dyDescent="0.25">
      <c r="A65" s="18" t="s">
        <v>69</v>
      </c>
      <c r="B65" s="19">
        <v>4</v>
      </c>
      <c r="C65" s="19">
        <v>82943</v>
      </c>
      <c r="D65" s="20">
        <f>C65-E65-F65-G65-H65-I65-J65</f>
        <v>3754</v>
      </c>
      <c r="E65" s="19">
        <v>1409</v>
      </c>
      <c r="F65" s="19">
        <v>932</v>
      </c>
      <c r="G65" s="19">
        <v>1443</v>
      </c>
      <c r="H65" s="19">
        <v>26586</v>
      </c>
      <c r="I65" s="19">
        <v>28790</v>
      </c>
      <c r="J65" s="19">
        <v>20029</v>
      </c>
      <c r="K65" s="21">
        <f t="shared" si="60"/>
        <v>27995</v>
      </c>
      <c r="L65" s="21">
        <f t="shared" si="60"/>
        <v>29722</v>
      </c>
      <c r="M65" s="21">
        <f t="shared" si="60"/>
        <v>21472</v>
      </c>
      <c r="P65" s="18" t="s">
        <v>128</v>
      </c>
      <c r="Q65" s="19">
        <v>17</v>
      </c>
      <c r="R65" s="19">
        <v>53134</v>
      </c>
      <c r="S65" s="20">
        <f>R65-T65-U65-V65-W65-X65-Y65</f>
        <v>3669</v>
      </c>
      <c r="T65" s="19">
        <v>12</v>
      </c>
      <c r="U65" s="19">
        <v>53</v>
      </c>
      <c r="V65" s="19">
        <v>34</v>
      </c>
      <c r="W65" s="19">
        <v>18357</v>
      </c>
      <c r="X65" s="19">
        <v>17524</v>
      </c>
      <c r="Y65" s="19">
        <v>13485</v>
      </c>
      <c r="Z65" s="21">
        <f t="shared" si="61"/>
        <v>18369</v>
      </c>
      <c r="AA65" s="21">
        <f t="shared" si="61"/>
        <v>17577</v>
      </c>
      <c r="AB65" s="21">
        <f t="shared" si="61"/>
        <v>13519</v>
      </c>
    </row>
    <row r="66" spans="1:28" ht="17" thickBot="1" x14ac:dyDescent="0.25">
      <c r="A66" s="9"/>
      <c r="B66" s="9" t="s">
        <v>57</v>
      </c>
      <c r="C66" s="9">
        <f t="shared" ref="C66:M66" si="62">AVERAGE(C63:C65)</f>
        <v>46938.666666666664</v>
      </c>
      <c r="D66" s="9">
        <f t="shared" si="62"/>
        <v>2451</v>
      </c>
      <c r="E66" s="9">
        <f t="shared" si="62"/>
        <v>820.33333333333337</v>
      </c>
      <c r="F66" s="9">
        <f t="shared" si="62"/>
        <v>584</v>
      </c>
      <c r="G66" s="9">
        <f t="shared" si="62"/>
        <v>892</v>
      </c>
      <c r="H66" s="9">
        <f t="shared" si="62"/>
        <v>14330.666666666666</v>
      </c>
      <c r="I66" s="9">
        <f t="shared" si="62"/>
        <v>15921.666666666666</v>
      </c>
      <c r="J66" s="9">
        <f t="shared" si="62"/>
        <v>11939</v>
      </c>
      <c r="K66" s="9">
        <f t="shared" si="62"/>
        <v>15151</v>
      </c>
      <c r="L66" s="9">
        <f t="shared" si="62"/>
        <v>16505.666666666668</v>
      </c>
      <c r="M66" s="9">
        <f t="shared" si="62"/>
        <v>12831</v>
      </c>
      <c r="P66" s="9"/>
      <c r="Q66" s="9" t="s">
        <v>57</v>
      </c>
      <c r="R66" s="9">
        <f t="shared" ref="R66:AB66" si="63">AVERAGE(R63:R65)</f>
        <v>44453.666666666664</v>
      </c>
      <c r="S66" s="9">
        <f t="shared" si="63"/>
        <v>3226.3333333333335</v>
      </c>
      <c r="T66" s="9">
        <f t="shared" si="63"/>
        <v>14.333333333333334</v>
      </c>
      <c r="U66" s="9">
        <f t="shared" si="63"/>
        <v>52.333333333333336</v>
      </c>
      <c r="V66" s="9">
        <f t="shared" si="63"/>
        <v>32</v>
      </c>
      <c r="W66" s="9">
        <f t="shared" si="63"/>
        <v>15260.666666666666</v>
      </c>
      <c r="X66" s="9">
        <f t="shared" si="63"/>
        <v>15138.666666666666</v>
      </c>
      <c r="Y66" s="9">
        <f t="shared" si="63"/>
        <v>10729.333333333334</v>
      </c>
      <c r="Z66" s="9">
        <f t="shared" si="63"/>
        <v>15275</v>
      </c>
      <c r="AA66" s="9">
        <f t="shared" si="63"/>
        <v>15191</v>
      </c>
      <c r="AB66" s="9">
        <f t="shared" si="63"/>
        <v>10761.333333333334</v>
      </c>
    </row>
    <row r="67" spans="1:28" x14ac:dyDescent="0.2">
      <c r="A67" s="11" t="s">
        <v>70</v>
      </c>
      <c r="B67" s="12">
        <v>10</v>
      </c>
      <c r="C67" s="12">
        <v>68235</v>
      </c>
      <c r="D67" s="13">
        <f>C67-E67-F67-G67-H67-I67-J67</f>
        <v>2778</v>
      </c>
      <c r="E67" s="12">
        <v>1336</v>
      </c>
      <c r="F67" s="12">
        <v>1396</v>
      </c>
      <c r="G67" s="12">
        <v>1394</v>
      </c>
      <c r="H67" s="12">
        <v>21028</v>
      </c>
      <c r="I67" s="12">
        <v>21822</v>
      </c>
      <c r="J67" s="12">
        <v>18481</v>
      </c>
      <c r="K67" s="14">
        <f t="shared" ref="K67:M69" si="64">SUM(E67,H67)</f>
        <v>22364</v>
      </c>
      <c r="L67" s="14">
        <f t="shared" si="64"/>
        <v>23218</v>
      </c>
      <c r="M67" s="14">
        <f t="shared" si="64"/>
        <v>19875</v>
      </c>
      <c r="P67" s="11" t="s">
        <v>130</v>
      </c>
      <c r="Q67" s="12">
        <v>12</v>
      </c>
      <c r="R67" s="12">
        <v>35915</v>
      </c>
      <c r="S67" s="13">
        <f>R67-T67-U67-V67-W67-X67-Y67</f>
        <v>4097</v>
      </c>
      <c r="T67" s="12">
        <v>10</v>
      </c>
      <c r="U67" s="12">
        <v>50</v>
      </c>
      <c r="V67" s="12">
        <v>42</v>
      </c>
      <c r="W67" s="12">
        <v>8264</v>
      </c>
      <c r="X67" s="12">
        <v>14359</v>
      </c>
      <c r="Y67" s="12">
        <v>9093</v>
      </c>
      <c r="Z67" s="14">
        <f t="shared" ref="Z67:AB69" si="65">SUM(T67,W67)</f>
        <v>8274</v>
      </c>
      <c r="AA67" s="14">
        <f t="shared" si="65"/>
        <v>14409</v>
      </c>
      <c r="AB67" s="14">
        <f t="shared" si="65"/>
        <v>9135</v>
      </c>
    </row>
    <row r="68" spans="1:28" x14ac:dyDescent="0.2">
      <c r="A68" s="15" t="s">
        <v>70</v>
      </c>
      <c r="B68" s="9">
        <v>14</v>
      </c>
      <c r="C68" s="9">
        <v>18684</v>
      </c>
      <c r="D68" s="16">
        <f>C68-E68-F68-G68-H68-I68-J68</f>
        <v>1494</v>
      </c>
      <c r="E68" s="9">
        <v>415</v>
      </c>
      <c r="F68" s="9">
        <v>295</v>
      </c>
      <c r="G68" s="9">
        <v>410</v>
      </c>
      <c r="H68" s="9">
        <v>5369</v>
      </c>
      <c r="I68" s="9">
        <v>5365</v>
      </c>
      <c r="J68" s="9">
        <v>5336</v>
      </c>
      <c r="K68" s="17">
        <f t="shared" si="64"/>
        <v>5784</v>
      </c>
      <c r="L68" s="17">
        <f t="shared" si="64"/>
        <v>5660</v>
      </c>
      <c r="M68" s="17">
        <f t="shared" si="64"/>
        <v>5746</v>
      </c>
      <c r="P68" s="15" t="s">
        <v>130</v>
      </c>
      <c r="Q68" s="9">
        <v>17</v>
      </c>
      <c r="R68" s="9">
        <v>25500</v>
      </c>
      <c r="S68" s="16">
        <f>R68-T68-U68-V68-W68-X68-Y68</f>
        <v>4255</v>
      </c>
      <c r="T68" s="9">
        <v>5</v>
      </c>
      <c r="U68" s="9">
        <v>54</v>
      </c>
      <c r="V68" s="9">
        <v>15</v>
      </c>
      <c r="W68" s="9">
        <v>5038</v>
      </c>
      <c r="X68" s="9">
        <v>11727</v>
      </c>
      <c r="Y68" s="9">
        <v>4406</v>
      </c>
      <c r="Z68" s="17">
        <f t="shared" si="65"/>
        <v>5043</v>
      </c>
      <c r="AA68" s="17">
        <f t="shared" si="65"/>
        <v>11781</v>
      </c>
      <c r="AB68" s="17">
        <f t="shared" si="65"/>
        <v>4421</v>
      </c>
    </row>
    <row r="69" spans="1:28" ht="17" thickBot="1" x14ac:dyDescent="0.25">
      <c r="A69" s="18" t="s">
        <v>70</v>
      </c>
      <c r="B69" s="19">
        <v>8</v>
      </c>
      <c r="C69" s="19">
        <v>64725</v>
      </c>
      <c r="D69" s="20">
        <f>C69-E69-F69-G69-H69-I69-J69</f>
        <v>2902</v>
      </c>
      <c r="E69" s="19">
        <v>1189</v>
      </c>
      <c r="F69" s="19">
        <v>1322</v>
      </c>
      <c r="G69" s="19">
        <v>1425</v>
      </c>
      <c r="H69" s="19">
        <v>19493</v>
      </c>
      <c r="I69" s="19">
        <v>20331</v>
      </c>
      <c r="J69" s="19">
        <v>18063</v>
      </c>
      <c r="K69" s="21">
        <f t="shared" si="64"/>
        <v>20682</v>
      </c>
      <c r="L69" s="21">
        <f t="shared" si="64"/>
        <v>21653</v>
      </c>
      <c r="M69" s="21">
        <f t="shared" si="64"/>
        <v>19488</v>
      </c>
      <c r="P69" s="18" t="s">
        <v>130</v>
      </c>
      <c r="Q69" s="19">
        <v>10</v>
      </c>
      <c r="R69" s="19">
        <v>44554</v>
      </c>
      <c r="S69" s="20">
        <f>R69-T69-U69-V69-W69-X69-Y69</f>
        <v>4315</v>
      </c>
      <c r="T69" s="19">
        <v>24</v>
      </c>
      <c r="U69" s="19">
        <v>69</v>
      </c>
      <c r="V69" s="19">
        <v>41</v>
      </c>
      <c r="W69" s="19">
        <v>9911</v>
      </c>
      <c r="X69" s="19">
        <v>19260</v>
      </c>
      <c r="Y69" s="19">
        <v>10934</v>
      </c>
      <c r="Z69" s="21">
        <f t="shared" si="65"/>
        <v>9935</v>
      </c>
      <c r="AA69" s="21">
        <f t="shared" si="65"/>
        <v>19329</v>
      </c>
      <c r="AB69" s="21">
        <f t="shared" si="65"/>
        <v>10975</v>
      </c>
    </row>
    <row r="70" spans="1:28" ht="17" thickBot="1" x14ac:dyDescent="0.25">
      <c r="A70" s="9"/>
      <c r="B70" s="9" t="s">
        <v>57</v>
      </c>
      <c r="C70" s="9">
        <f t="shared" ref="C70:M70" si="66">AVERAGE(C67:C69)</f>
        <v>50548</v>
      </c>
      <c r="D70" s="9">
        <f t="shared" si="66"/>
        <v>2391.3333333333335</v>
      </c>
      <c r="E70" s="9">
        <f t="shared" si="66"/>
        <v>980</v>
      </c>
      <c r="F70" s="9">
        <f t="shared" si="66"/>
        <v>1004.3333333333334</v>
      </c>
      <c r="G70" s="9">
        <f t="shared" si="66"/>
        <v>1076.3333333333333</v>
      </c>
      <c r="H70" s="9">
        <f t="shared" si="66"/>
        <v>15296.666666666666</v>
      </c>
      <c r="I70" s="9">
        <f t="shared" si="66"/>
        <v>15839.333333333334</v>
      </c>
      <c r="J70" s="9">
        <f t="shared" si="66"/>
        <v>13960</v>
      </c>
      <c r="K70" s="9">
        <f t="shared" si="66"/>
        <v>16276.666666666666</v>
      </c>
      <c r="L70" s="9">
        <f t="shared" si="66"/>
        <v>16843.666666666668</v>
      </c>
      <c r="M70" s="9">
        <f t="shared" si="66"/>
        <v>15036.333333333334</v>
      </c>
      <c r="P70" s="9"/>
      <c r="Q70" s="9" t="s">
        <v>57</v>
      </c>
      <c r="R70" s="9">
        <f t="shared" ref="R70:AB70" si="67">AVERAGE(R67:R69)</f>
        <v>35323</v>
      </c>
      <c r="S70" s="9">
        <f t="shared" si="67"/>
        <v>4222.333333333333</v>
      </c>
      <c r="T70" s="9">
        <f t="shared" si="67"/>
        <v>13</v>
      </c>
      <c r="U70" s="9">
        <f t="shared" si="67"/>
        <v>57.666666666666664</v>
      </c>
      <c r="V70" s="9">
        <f t="shared" si="67"/>
        <v>32.666666666666664</v>
      </c>
      <c r="W70" s="9">
        <f t="shared" si="67"/>
        <v>7737.666666666667</v>
      </c>
      <c r="X70" s="9">
        <f t="shared" si="67"/>
        <v>15115.333333333334</v>
      </c>
      <c r="Y70" s="9">
        <f t="shared" si="67"/>
        <v>8144.333333333333</v>
      </c>
      <c r="Z70" s="9">
        <f t="shared" si="67"/>
        <v>7750.666666666667</v>
      </c>
      <c r="AA70" s="9">
        <f t="shared" si="67"/>
        <v>15173</v>
      </c>
      <c r="AB70" s="9">
        <f t="shared" si="67"/>
        <v>8177</v>
      </c>
    </row>
    <row r="71" spans="1:28" x14ac:dyDescent="0.2">
      <c r="A71" s="11" t="s">
        <v>72</v>
      </c>
      <c r="B71" s="12">
        <v>4</v>
      </c>
      <c r="C71" s="12">
        <v>52520</v>
      </c>
      <c r="D71" s="13">
        <f>C71-E71-F71-G71-H71-I71-J71</f>
        <v>1814</v>
      </c>
      <c r="E71" s="12">
        <v>988</v>
      </c>
      <c r="F71" s="12">
        <v>395</v>
      </c>
      <c r="G71" s="12">
        <v>659</v>
      </c>
      <c r="H71" s="12">
        <v>20000</v>
      </c>
      <c r="I71" s="12">
        <v>17843</v>
      </c>
      <c r="J71" s="12">
        <v>10821</v>
      </c>
      <c r="K71" s="14">
        <f t="shared" ref="K71:M73" si="68">SUM(E71,H71)</f>
        <v>20988</v>
      </c>
      <c r="L71" s="14">
        <f t="shared" si="68"/>
        <v>18238</v>
      </c>
      <c r="M71" s="14">
        <f t="shared" si="68"/>
        <v>11480</v>
      </c>
      <c r="P71" s="11" t="s">
        <v>132</v>
      </c>
      <c r="Q71" s="12">
        <v>12</v>
      </c>
      <c r="R71" s="12">
        <v>83924</v>
      </c>
      <c r="S71" s="13">
        <f>R71-T71-U71-V71-W71-X71-Y71</f>
        <v>6816</v>
      </c>
      <c r="T71" s="12">
        <v>91</v>
      </c>
      <c r="U71" s="12">
        <v>216</v>
      </c>
      <c r="V71" s="12">
        <v>159</v>
      </c>
      <c r="W71" s="12">
        <v>26457</v>
      </c>
      <c r="X71" s="12">
        <v>30744</v>
      </c>
      <c r="Y71" s="12">
        <v>19441</v>
      </c>
      <c r="Z71" s="14">
        <f t="shared" ref="Z71:AB73" si="69">SUM(T71,W71)</f>
        <v>26548</v>
      </c>
      <c r="AA71" s="14">
        <f t="shared" si="69"/>
        <v>30960</v>
      </c>
      <c r="AB71" s="14">
        <f t="shared" si="69"/>
        <v>19600</v>
      </c>
    </row>
    <row r="72" spans="1:28" x14ac:dyDescent="0.2">
      <c r="A72" s="15" t="s">
        <v>72</v>
      </c>
      <c r="B72" s="9">
        <v>8</v>
      </c>
      <c r="C72" s="9">
        <v>70243</v>
      </c>
      <c r="D72" s="16">
        <f>C72-E72-F72-G72-H72-I72-J72</f>
        <v>1951</v>
      </c>
      <c r="E72" s="9">
        <v>1324</v>
      </c>
      <c r="F72" s="9">
        <v>661</v>
      </c>
      <c r="G72" s="9">
        <v>1349</v>
      </c>
      <c r="H72" s="9">
        <v>24749</v>
      </c>
      <c r="I72" s="9">
        <v>23142</v>
      </c>
      <c r="J72" s="9">
        <v>17067</v>
      </c>
      <c r="K72" s="17">
        <f t="shared" si="68"/>
        <v>26073</v>
      </c>
      <c r="L72" s="17">
        <f t="shared" si="68"/>
        <v>23803</v>
      </c>
      <c r="M72" s="17">
        <f t="shared" si="68"/>
        <v>18416</v>
      </c>
      <c r="P72" s="15" t="s">
        <v>132</v>
      </c>
      <c r="Q72" s="9">
        <v>9</v>
      </c>
      <c r="R72" s="9">
        <v>85406</v>
      </c>
      <c r="S72" s="16">
        <f>R72-T72-U72-V72-W72-X72-Y72</f>
        <v>4380</v>
      </c>
      <c r="T72" s="9">
        <v>131</v>
      </c>
      <c r="U72" s="9">
        <v>271</v>
      </c>
      <c r="V72" s="9">
        <v>180</v>
      </c>
      <c r="W72" s="9">
        <v>28212</v>
      </c>
      <c r="X72" s="9">
        <v>33868</v>
      </c>
      <c r="Y72" s="9">
        <v>18364</v>
      </c>
      <c r="Z72" s="17">
        <f t="shared" si="69"/>
        <v>28343</v>
      </c>
      <c r="AA72" s="17">
        <f t="shared" si="69"/>
        <v>34139</v>
      </c>
      <c r="AB72" s="17">
        <f t="shared" si="69"/>
        <v>18544</v>
      </c>
    </row>
    <row r="73" spans="1:28" ht="17" thickBot="1" x14ac:dyDescent="0.25">
      <c r="A73" s="18" t="s">
        <v>72</v>
      </c>
      <c r="B73" s="19">
        <v>13</v>
      </c>
      <c r="C73" s="19">
        <v>9289</v>
      </c>
      <c r="D73" s="20">
        <f>C73-E73-F73-G73-H73-I73-J73</f>
        <v>753</v>
      </c>
      <c r="E73" s="19">
        <v>126</v>
      </c>
      <c r="F73" s="19">
        <v>53</v>
      </c>
      <c r="G73" s="19">
        <v>120</v>
      </c>
      <c r="H73" s="19">
        <v>2971</v>
      </c>
      <c r="I73" s="19">
        <v>2908</v>
      </c>
      <c r="J73" s="19">
        <v>2358</v>
      </c>
      <c r="K73" s="21">
        <f t="shared" si="68"/>
        <v>3097</v>
      </c>
      <c r="L73" s="21">
        <f t="shared" si="68"/>
        <v>2961</v>
      </c>
      <c r="M73" s="21">
        <f t="shared" si="68"/>
        <v>2478</v>
      </c>
      <c r="P73" s="18" t="s">
        <v>132</v>
      </c>
      <c r="Q73" s="19">
        <v>15</v>
      </c>
      <c r="R73" s="19">
        <v>54761</v>
      </c>
      <c r="S73" s="20">
        <f>R73-T73-U73-V73-W73-X73-Y73</f>
        <v>4294</v>
      </c>
      <c r="T73" s="19">
        <v>77</v>
      </c>
      <c r="U73" s="19">
        <v>111</v>
      </c>
      <c r="V73" s="19">
        <v>139</v>
      </c>
      <c r="W73" s="19">
        <v>17841</v>
      </c>
      <c r="X73" s="19">
        <v>16778</v>
      </c>
      <c r="Y73" s="19">
        <v>15521</v>
      </c>
      <c r="Z73" s="21">
        <f t="shared" si="69"/>
        <v>17918</v>
      </c>
      <c r="AA73" s="21">
        <f t="shared" si="69"/>
        <v>16889</v>
      </c>
      <c r="AB73" s="21">
        <f t="shared" si="69"/>
        <v>15660</v>
      </c>
    </row>
    <row r="74" spans="1:28" ht="17" thickBot="1" x14ac:dyDescent="0.25">
      <c r="A74" s="9"/>
      <c r="B74" s="9" t="s">
        <v>57</v>
      </c>
      <c r="C74" s="9">
        <f t="shared" ref="C74:M74" si="70">AVERAGE(C71:C73)</f>
        <v>44017.333333333336</v>
      </c>
      <c r="D74" s="9">
        <f t="shared" si="70"/>
        <v>1506</v>
      </c>
      <c r="E74" s="9">
        <f t="shared" si="70"/>
        <v>812.66666666666663</v>
      </c>
      <c r="F74" s="9">
        <f t="shared" si="70"/>
        <v>369.66666666666669</v>
      </c>
      <c r="G74" s="9">
        <f t="shared" si="70"/>
        <v>709.33333333333337</v>
      </c>
      <c r="H74" s="9">
        <f t="shared" si="70"/>
        <v>15906.666666666666</v>
      </c>
      <c r="I74" s="9">
        <f t="shared" si="70"/>
        <v>14631</v>
      </c>
      <c r="J74" s="9">
        <f t="shared" si="70"/>
        <v>10082</v>
      </c>
      <c r="K74" s="9">
        <f t="shared" si="70"/>
        <v>16719.333333333332</v>
      </c>
      <c r="L74" s="9">
        <f t="shared" si="70"/>
        <v>15000.666666666666</v>
      </c>
      <c r="M74" s="9">
        <f t="shared" si="70"/>
        <v>10791.333333333334</v>
      </c>
      <c r="P74" s="9"/>
      <c r="Q74" s="9" t="s">
        <v>57</v>
      </c>
      <c r="R74" s="9">
        <f t="shared" ref="R74:AB74" si="71">AVERAGE(R71:R73)</f>
        <v>74697</v>
      </c>
      <c r="S74" s="9">
        <f t="shared" si="71"/>
        <v>5163.333333333333</v>
      </c>
      <c r="T74" s="9">
        <f t="shared" si="71"/>
        <v>99.666666666666671</v>
      </c>
      <c r="U74" s="9">
        <f t="shared" si="71"/>
        <v>199.33333333333334</v>
      </c>
      <c r="V74" s="9">
        <f t="shared" si="71"/>
        <v>159.33333333333334</v>
      </c>
      <c r="W74" s="9">
        <f t="shared" si="71"/>
        <v>24170</v>
      </c>
      <c r="X74" s="9">
        <f t="shared" si="71"/>
        <v>27130</v>
      </c>
      <c r="Y74" s="9">
        <f t="shared" si="71"/>
        <v>17775.333333333332</v>
      </c>
      <c r="Z74" s="9">
        <f t="shared" si="71"/>
        <v>24269.666666666668</v>
      </c>
      <c r="AA74" s="9">
        <f t="shared" si="71"/>
        <v>27329.333333333332</v>
      </c>
      <c r="AB74" s="9">
        <f t="shared" si="71"/>
        <v>17934.666666666668</v>
      </c>
    </row>
    <row r="75" spans="1:28" x14ac:dyDescent="0.2">
      <c r="P75" s="11" t="s">
        <v>134</v>
      </c>
      <c r="Q75" s="12">
        <v>13</v>
      </c>
      <c r="R75" s="12">
        <v>51357</v>
      </c>
      <c r="S75" s="13">
        <f>R75-T75-U75-V75-W75-X75-Y75</f>
        <v>3878</v>
      </c>
      <c r="T75" s="12">
        <v>39</v>
      </c>
      <c r="U75" s="12">
        <v>129</v>
      </c>
      <c r="V75" s="12">
        <v>231</v>
      </c>
      <c r="W75" s="12">
        <v>10633</v>
      </c>
      <c r="X75" s="12">
        <v>17311</v>
      </c>
      <c r="Y75" s="12">
        <v>19136</v>
      </c>
      <c r="Z75" s="14">
        <f t="shared" ref="Z75:AB77" si="72">SUM(T75,W75)</f>
        <v>10672</v>
      </c>
      <c r="AA75" s="14">
        <f t="shared" si="72"/>
        <v>17440</v>
      </c>
      <c r="AB75" s="14">
        <f t="shared" si="72"/>
        <v>19367</v>
      </c>
    </row>
    <row r="76" spans="1:28" ht="47" x14ac:dyDescent="0.55000000000000004">
      <c r="A76" s="39" t="s">
        <v>108</v>
      </c>
      <c r="P76" s="15" t="s">
        <v>134</v>
      </c>
      <c r="Q76" s="9">
        <v>21</v>
      </c>
      <c r="R76" s="9">
        <v>22615</v>
      </c>
      <c r="S76" s="16">
        <f>R76-T76-U76-V76-W76-X76-Y76</f>
        <v>4197</v>
      </c>
      <c r="T76" s="9">
        <v>11</v>
      </c>
      <c r="U76" s="9">
        <v>40</v>
      </c>
      <c r="V76" s="9">
        <v>35</v>
      </c>
      <c r="W76" s="9">
        <v>3980</v>
      </c>
      <c r="X76" s="9">
        <v>8066</v>
      </c>
      <c r="Y76" s="9">
        <v>6286</v>
      </c>
      <c r="Z76" s="17">
        <f t="shared" si="72"/>
        <v>3991</v>
      </c>
      <c r="AA76" s="17">
        <f t="shared" si="72"/>
        <v>8106</v>
      </c>
      <c r="AB76" s="17">
        <f t="shared" si="72"/>
        <v>6321</v>
      </c>
    </row>
    <row r="77" spans="1:28" ht="35" thickBot="1" x14ac:dyDescent="0.25">
      <c r="A77" s="9" t="s">
        <v>43</v>
      </c>
      <c r="B77" s="9" t="s">
        <v>44</v>
      </c>
      <c r="C77" s="9" t="s">
        <v>45</v>
      </c>
      <c r="D77" s="10" t="s">
        <v>46</v>
      </c>
      <c r="E77" s="9" t="s">
        <v>47</v>
      </c>
      <c r="F77" s="9" t="s">
        <v>48</v>
      </c>
      <c r="G77" s="9" t="s">
        <v>49</v>
      </c>
      <c r="H77" s="9" t="s">
        <v>50</v>
      </c>
      <c r="I77" s="9" t="s">
        <v>51</v>
      </c>
      <c r="J77" s="9" t="s">
        <v>52</v>
      </c>
      <c r="K77" s="9" t="s">
        <v>53</v>
      </c>
      <c r="L77" s="9" t="s">
        <v>54</v>
      </c>
      <c r="M77" s="9" t="s">
        <v>55</v>
      </c>
      <c r="P77" s="18" t="s">
        <v>134</v>
      </c>
      <c r="Q77" s="19">
        <v>17</v>
      </c>
      <c r="R77" s="19">
        <v>55350</v>
      </c>
      <c r="S77" s="20">
        <f>R77-T77-U77-V77-W77-X77-Y77</f>
        <v>2765</v>
      </c>
      <c r="T77" s="19">
        <v>52</v>
      </c>
      <c r="U77" s="19">
        <v>164</v>
      </c>
      <c r="V77" s="19">
        <v>221</v>
      </c>
      <c r="W77" s="19">
        <v>13618</v>
      </c>
      <c r="X77" s="19">
        <v>20628</v>
      </c>
      <c r="Y77" s="19">
        <v>17902</v>
      </c>
      <c r="Z77" s="21">
        <f t="shared" si="72"/>
        <v>13670</v>
      </c>
      <c r="AA77" s="21">
        <f t="shared" si="72"/>
        <v>20792</v>
      </c>
      <c r="AB77" s="21">
        <f t="shared" si="72"/>
        <v>18123</v>
      </c>
    </row>
    <row r="78" spans="1:28" ht="17" thickBot="1" x14ac:dyDescent="0.25">
      <c r="A78" s="11" t="s">
        <v>75</v>
      </c>
      <c r="B78" s="12">
        <v>10</v>
      </c>
      <c r="C78" s="12">
        <v>163239</v>
      </c>
      <c r="D78" s="13">
        <f>C78-E78-F78-G78-H78-I78-J78</f>
        <v>7782</v>
      </c>
      <c r="E78" s="12">
        <v>778</v>
      </c>
      <c r="F78" s="12">
        <v>313</v>
      </c>
      <c r="G78" s="12">
        <v>893</v>
      </c>
      <c r="H78" s="12">
        <v>61964</v>
      </c>
      <c r="I78" s="12">
        <v>45607</v>
      </c>
      <c r="J78" s="12">
        <v>45902</v>
      </c>
      <c r="K78" s="14">
        <f t="shared" ref="K78:M80" si="73">SUM(E78,H78)</f>
        <v>62742</v>
      </c>
      <c r="L78" s="14">
        <f t="shared" si="73"/>
        <v>45920</v>
      </c>
      <c r="M78" s="14">
        <f t="shared" si="73"/>
        <v>46795</v>
      </c>
      <c r="P78" s="9"/>
      <c r="Q78" s="9" t="s">
        <v>57</v>
      </c>
      <c r="R78" s="9">
        <f t="shared" ref="R78:AB78" si="74">AVERAGE(R75:R77)</f>
        <v>43107.333333333336</v>
      </c>
      <c r="S78" s="9">
        <f t="shared" si="74"/>
        <v>3613.3333333333335</v>
      </c>
      <c r="T78" s="9">
        <f t="shared" si="74"/>
        <v>34</v>
      </c>
      <c r="U78" s="9">
        <f t="shared" si="74"/>
        <v>111</v>
      </c>
      <c r="V78" s="9">
        <f t="shared" si="74"/>
        <v>162.33333333333334</v>
      </c>
      <c r="W78" s="9">
        <f t="shared" si="74"/>
        <v>9410.3333333333339</v>
      </c>
      <c r="X78" s="9">
        <f t="shared" si="74"/>
        <v>15335</v>
      </c>
      <c r="Y78" s="9">
        <f t="shared" si="74"/>
        <v>14441.333333333334</v>
      </c>
      <c r="Z78" s="9">
        <f t="shared" si="74"/>
        <v>9444.3333333333339</v>
      </c>
      <c r="AA78" s="9">
        <f t="shared" si="74"/>
        <v>15446</v>
      </c>
      <c r="AB78" s="9">
        <f t="shared" si="74"/>
        <v>14603.666666666666</v>
      </c>
    </row>
    <row r="79" spans="1:28" x14ac:dyDescent="0.2">
      <c r="A79" s="15" t="s">
        <v>75</v>
      </c>
      <c r="B79" s="9">
        <v>12</v>
      </c>
      <c r="C79" s="9">
        <v>119863</v>
      </c>
      <c r="D79" s="16">
        <f>C79-E79-F79-G79-H79-I79-J79</f>
        <v>6974</v>
      </c>
      <c r="E79" s="9">
        <v>593</v>
      </c>
      <c r="F79" s="9">
        <v>214</v>
      </c>
      <c r="G79" s="9">
        <v>671</v>
      </c>
      <c r="H79" s="9">
        <v>44845</v>
      </c>
      <c r="I79" s="9">
        <v>32827</v>
      </c>
      <c r="J79" s="9">
        <v>33739</v>
      </c>
      <c r="K79" s="17">
        <f t="shared" si="73"/>
        <v>45438</v>
      </c>
      <c r="L79" s="17">
        <f t="shared" si="73"/>
        <v>33041</v>
      </c>
      <c r="M79" s="17">
        <f t="shared" si="73"/>
        <v>34410</v>
      </c>
      <c r="P79" s="11" t="s">
        <v>136</v>
      </c>
      <c r="Q79" s="12">
        <v>12</v>
      </c>
      <c r="R79" s="12">
        <v>94853</v>
      </c>
      <c r="S79" s="13">
        <f>R79-T79-U79-V79-W79-X79-Y79</f>
        <v>6553</v>
      </c>
      <c r="T79" s="12">
        <v>116</v>
      </c>
      <c r="U79" s="12">
        <v>326</v>
      </c>
      <c r="V79" s="12">
        <v>378</v>
      </c>
      <c r="W79" s="12">
        <v>23746</v>
      </c>
      <c r="X79" s="12">
        <v>35219</v>
      </c>
      <c r="Y79" s="12">
        <v>28515</v>
      </c>
      <c r="Z79" s="14">
        <f t="shared" ref="Z79:AB81" si="75">SUM(T79,W79)</f>
        <v>23862</v>
      </c>
      <c r="AA79" s="14">
        <f t="shared" si="75"/>
        <v>35545</v>
      </c>
      <c r="AB79" s="14">
        <f t="shared" si="75"/>
        <v>28893</v>
      </c>
    </row>
    <row r="80" spans="1:28" ht="17" thickBot="1" x14ac:dyDescent="0.25">
      <c r="A80" s="18" t="s">
        <v>75</v>
      </c>
      <c r="B80" s="19">
        <v>8</v>
      </c>
      <c r="C80" s="19">
        <v>181997</v>
      </c>
      <c r="D80" s="20">
        <f>C80-E80-F80-G80-H80-I80-J80</f>
        <v>6870</v>
      </c>
      <c r="E80" s="19">
        <v>875</v>
      </c>
      <c r="F80" s="19">
        <v>355</v>
      </c>
      <c r="G80" s="19">
        <v>1019</v>
      </c>
      <c r="H80" s="19">
        <v>66435</v>
      </c>
      <c r="I80" s="19">
        <v>54673</v>
      </c>
      <c r="J80" s="19">
        <v>51770</v>
      </c>
      <c r="K80" s="21">
        <f t="shared" si="73"/>
        <v>67310</v>
      </c>
      <c r="L80" s="21">
        <f t="shared" si="73"/>
        <v>55028</v>
      </c>
      <c r="M80" s="21">
        <f t="shared" si="73"/>
        <v>52789</v>
      </c>
      <c r="P80" s="15" t="s">
        <v>136</v>
      </c>
      <c r="Q80" s="9">
        <v>14</v>
      </c>
      <c r="R80" s="9">
        <v>84796</v>
      </c>
      <c r="S80" s="16">
        <f>R80-T80-U80-V80-W80-X80-Y80</f>
        <v>6210</v>
      </c>
      <c r="T80" s="9">
        <v>59</v>
      </c>
      <c r="U80" s="9">
        <v>213</v>
      </c>
      <c r="V80" s="9">
        <v>243</v>
      </c>
      <c r="W80" s="9">
        <v>20115</v>
      </c>
      <c r="X80" s="9">
        <v>32323</v>
      </c>
      <c r="Y80" s="9">
        <v>25633</v>
      </c>
      <c r="Z80" s="17">
        <f t="shared" si="75"/>
        <v>20174</v>
      </c>
      <c r="AA80" s="17">
        <f t="shared" si="75"/>
        <v>32536</v>
      </c>
      <c r="AB80" s="17">
        <f t="shared" si="75"/>
        <v>25876</v>
      </c>
    </row>
    <row r="81" spans="1:28" ht="17" thickBot="1" x14ac:dyDescent="0.25">
      <c r="A81" s="9"/>
      <c r="B81" s="9" t="s">
        <v>57</v>
      </c>
      <c r="C81" s="9">
        <f t="shared" ref="C81:M81" si="76">AVERAGE(C78:C80)</f>
        <v>155033</v>
      </c>
      <c r="D81" s="9">
        <f t="shared" si="76"/>
        <v>7208.666666666667</v>
      </c>
      <c r="E81" s="9">
        <f t="shared" si="76"/>
        <v>748.66666666666663</v>
      </c>
      <c r="F81" s="9">
        <f t="shared" si="76"/>
        <v>294</v>
      </c>
      <c r="G81" s="9">
        <f t="shared" si="76"/>
        <v>861</v>
      </c>
      <c r="H81" s="9">
        <f t="shared" si="76"/>
        <v>57748</v>
      </c>
      <c r="I81" s="9">
        <f t="shared" si="76"/>
        <v>44369</v>
      </c>
      <c r="J81" s="9">
        <f t="shared" si="76"/>
        <v>43803.666666666664</v>
      </c>
      <c r="K81" s="9">
        <f t="shared" si="76"/>
        <v>58496.666666666664</v>
      </c>
      <c r="L81" s="9">
        <f t="shared" si="76"/>
        <v>44663</v>
      </c>
      <c r="M81" s="9">
        <f t="shared" si="76"/>
        <v>44664.666666666664</v>
      </c>
      <c r="P81" s="18" t="s">
        <v>136</v>
      </c>
      <c r="Q81" s="19">
        <v>16</v>
      </c>
      <c r="R81" s="19">
        <v>50102</v>
      </c>
      <c r="S81" s="20">
        <f>R81-T81-U81-V81-W81-X81-Y81</f>
        <v>4636</v>
      </c>
      <c r="T81" s="19">
        <v>30</v>
      </c>
      <c r="U81" s="19">
        <v>77</v>
      </c>
      <c r="V81" s="19">
        <v>162</v>
      </c>
      <c r="W81" s="19">
        <v>11246</v>
      </c>
      <c r="X81" s="19">
        <v>17349</v>
      </c>
      <c r="Y81" s="19">
        <v>16602</v>
      </c>
      <c r="Z81" s="21">
        <f t="shared" si="75"/>
        <v>11276</v>
      </c>
      <c r="AA81" s="21">
        <f t="shared" si="75"/>
        <v>17426</v>
      </c>
      <c r="AB81" s="21">
        <f t="shared" si="75"/>
        <v>16764</v>
      </c>
    </row>
    <row r="82" spans="1:28" x14ac:dyDescent="0.2">
      <c r="A82" s="11" t="s">
        <v>76</v>
      </c>
      <c r="B82" s="12">
        <v>11</v>
      </c>
      <c r="C82" s="12">
        <v>103812</v>
      </c>
      <c r="D82" s="13">
        <f>C82-E82-F82-G82-H82-I82-J82</f>
        <v>7419</v>
      </c>
      <c r="E82" s="12">
        <v>416</v>
      </c>
      <c r="F82" s="12">
        <v>165</v>
      </c>
      <c r="G82" s="12">
        <v>790</v>
      </c>
      <c r="H82" s="12">
        <v>29593</v>
      </c>
      <c r="I82" s="12">
        <v>24154</v>
      </c>
      <c r="J82" s="12">
        <v>41275</v>
      </c>
      <c r="K82" s="14">
        <f t="shared" ref="K82:M84" si="77">SUM(E82,H82)</f>
        <v>30009</v>
      </c>
      <c r="L82" s="14">
        <f t="shared" si="77"/>
        <v>24319</v>
      </c>
      <c r="M82" s="14">
        <f t="shared" si="77"/>
        <v>42065</v>
      </c>
      <c r="P82" s="9"/>
      <c r="Q82" s="9" t="s">
        <v>57</v>
      </c>
      <c r="R82" s="9">
        <f t="shared" ref="R82:AB82" si="78">AVERAGE(R79:R81)</f>
        <v>76583.666666666672</v>
      </c>
      <c r="S82" s="9">
        <f t="shared" si="78"/>
        <v>5799.666666666667</v>
      </c>
      <c r="T82" s="9">
        <f t="shared" si="78"/>
        <v>68.333333333333329</v>
      </c>
      <c r="U82" s="9">
        <f t="shared" si="78"/>
        <v>205.33333333333334</v>
      </c>
      <c r="V82" s="9">
        <f t="shared" si="78"/>
        <v>261</v>
      </c>
      <c r="W82" s="9">
        <f t="shared" si="78"/>
        <v>18369</v>
      </c>
      <c r="X82" s="9">
        <f t="shared" si="78"/>
        <v>28297</v>
      </c>
      <c r="Y82" s="9">
        <f t="shared" si="78"/>
        <v>23583.333333333332</v>
      </c>
      <c r="Z82" s="9">
        <f t="shared" si="78"/>
        <v>18437.333333333332</v>
      </c>
      <c r="AA82" s="9">
        <f t="shared" si="78"/>
        <v>28502.333333333332</v>
      </c>
      <c r="AB82" s="9">
        <f t="shared" si="78"/>
        <v>23844.333333333332</v>
      </c>
    </row>
    <row r="83" spans="1:28" x14ac:dyDescent="0.2">
      <c r="A83" s="15" t="s">
        <v>76</v>
      </c>
      <c r="B83" s="9">
        <v>13</v>
      </c>
      <c r="C83" s="9">
        <v>19506</v>
      </c>
      <c r="D83" s="16">
        <f>C83-E83-F83-G83-H83-I83-J83</f>
        <v>6622</v>
      </c>
      <c r="E83" s="9">
        <v>75</v>
      </c>
      <c r="F83" s="9">
        <v>32</v>
      </c>
      <c r="G83" s="9">
        <v>64</v>
      </c>
      <c r="H83" s="9">
        <v>5349</v>
      </c>
      <c r="I83" s="9">
        <v>4160</v>
      </c>
      <c r="J83" s="9">
        <v>3204</v>
      </c>
      <c r="K83" s="17">
        <f t="shared" si="77"/>
        <v>5424</v>
      </c>
      <c r="L83" s="17">
        <f t="shared" si="77"/>
        <v>4192</v>
      </c>
      <c r="M83" s="17">
        <f t="shared" si="77"/>
        <v>3268</v>
      </c>
    </row>
    <row r="84" spans="1:28" ht="17" thickBot="1" x14ac:dyDescent="0.25">
      <c r="A84" s="18" t="s">
        <v>76</v>
      </c>
      <c r="B84" s="19">
        <v>8</v>
      </c>
      <c r="C84" s="19">
        <v>13461</v>
      </c>
      <c r="D84" s="20">
        <f>C84-E84-F84-G84-H84-I84-J84</f>
        <v>6908</v>
      </c>
      <c r="E84" s="19">
        <v>32</v>
      </c>
      <c r="F84" s="19">
        <v>7</v>
      </c>
      <c r="G84" s="19">
        <v>35</v>
      </c>
      <c r="H84" s="19">
        <v>2519</v>
      </c>
      <c r="I84" s="19">
        <v>1939</v>
      </c>
      <c r="J84" s="19">
        <v>2021</v>
      </c>
      <c r="K84" s="21">
        <f t="shared" si="77"/>
        <v>2551</v>
      </c>
      <c r="L84" s="21">
        <f t="shared" si="77"/>
        <v>1946</v>
      </c>
      <c r="M84" s="21">
        <f t="shared" si="77"/>
        <v>2056</v>
      </c>
    </row>
    <row r="85" spans="1:28" ht="17" thickBot="1" x14ac:dyDescent="0.25">
      <c r="A85" s="9"/>
      <c r="B85" s="9" t="s">
        <v>57</v>
      </c>
      <c r="C85" s="9">
        <f t="shared" ref="C85:M85" si="79">AVERAGE(C82:C84)</f>
        <v>45593</v>
      </c>
      <c r="D85" s="9">
        <f t="shared" si="79"/>
        <v>6983</v>
      </c>
      <c r="E85" s="9">
        <f t="shared" si="79"/>
        <v>174.33333333333334</v>
      </c>
      <c r="F85" s="9">
        <f t="shared" si="79"/>
        <v>68</v>
      </c>
      <c r="G85" s="9">
        <f t="shared" si="79"/>
        <v>296.33333333333331</v>
      </c>
      <c r="H85" s="9">
        <f t="shared" si="79"/>
        <v>12487</v>
      </c>
      <c r="I85" s="9">
        <f t="shared" si="79"/>
        <v>10084.333333333334</v>
      </c>
      <c r="J85" s="9">
        <f t="shared" si="79"/>
        <v>15500</v>
      </c>
      <c r="K85" s="9">
        <f t="shared" si="79"/>
        <v>12661.333333333334</v>
      </c>
      <c r="L85" s="9">
        <f t="shared" si="79"/>
        <v>10152.333333333334</v>
      </c>
      <c r="M85" s="9">
        <f t="shared" si="79"/>
        <v>15796.333333333334</v>
      </c>
    </row>
    <row r="86" spans="1:28" x14ac:dyDescent="0.2">
      <c r="A86" s="11" t="s">
        <v>77</v>
      </c>
      <c r="B86" s="12">
        <v>12</v>
      </c>
      <c r="C86" s="12">
        <v>159689</v>
      </c>
      <c r="D86" s="13">
        <f>C86-E86-F86-G86-H86-I86-J86</f>
        <v>6618</v>
      </c>
      <c r="E86" s="12">
        <v>724</v>
      </c>
      <c r="F86" s="12">
        <v>518</v>
      </c>
      <c r="G86" s="12">
        <v>1200</v>
      </c>
      <c r="H86" s="12">
        <v>51383</v>
      </c>
      <c r="I86" s="12">
        <v>47737</v>
      </c>
      <c r="J86" s="12">
        <v>51509</v>
      </c>
      <c r="K86" s="14">
        <f t="shared" ref="K86:M88" si="80">SUM(E86,H86)</f>
        <v>52107</v>
      </c>
      <c r="L86" s="14">
        <f t="shared" si="80"/>
        <v>48255</v>
      </c>
      <c r="M86" s="14">
        <f t="shared" si="80"/>
        <v>52709</v>
      </c>
    </row>
    <row r="87" spans="1:28" x14ac:dyDescent="0.2">
      <c r="A87" s="15" t="s">
        <v>77</v>
      </c>
      <c r="B87" s="9">
        <v>14</v>
      </c>
      <c r="C87" s="9">
        <v>179500</v>
      </c>
      <c r="D87" s="16">
        <f>C87-E87-F87-G87-H87-I87-J87</f>
        <v>8632</v>
      </c>
      <c r="E87" s="9">
        <v>756</v>
      </c>
      <c r="F87" s="9">
        <v>551</v>
      </c>
      <c r="G87" s="9">
        <v>1254</v>
      </c>
      <c r="H87" s="9">
        <v>57145</v>
      </c>
      <c r="I87" s="9">
        <v>52633</v>
      </c>
      <c r="J87" s="9">
        <v>58529</v>
      </c>
      <c r="K87" s="17">
        <f t="shared" si="80"/>
        <v>57901</v>
      </c>
      <c r="L87" s="17">
        <f t="shared" si="80"/>
        <v>53184</v>
      </c>
      <c r="M87" s="17">
        <f t="shared" si="80"/>
        <v>59783</v>
      </c>
    </row>
    <row r="88" spans="1:28" ht="17" thickBot="1" x14ac:dyDescent="0.25">
      <c r="A88" s="18" t="s">
        <v>77</v>
      </c>
      <c r="B88" s="19">
        <v>16</v>
      </c>
      <c r="C88" s="19">
        <v>153424</v>
      </c>
      <c r="D88" s="20">
        <f>C88-E88-F88-G88-H88-I88-J88</f>
        <v>9336</v>
      </c>
      <c r="E88" s="19">
        <v>592</v>
      </c>
      <c r="F88" s="19">
        <v>376</v>
      </c>
      <c r="G88" s="19">
        <v>1084</v>
      </c>
      <c r="H88" s="19">
        <v>46928</v>
      </c>
      <c r="I88" s="19">
        <v>43525</v>
      </c>
      <c r="J88" s="19">
        <v>51583</v>
      </c>
      <c r="K88" s="21">
        <f t="shared" si="80"/>
        <v>47520</v>
      </c>
      <c r="L88" s="21">
        <f t="shared" si="80"/>
        <v>43901</v>
      </c>
      <c r="M88" s="21">
        <f t="shared" si="80"/>
        <v>52667</v>
      </c>
    </row>
    <row r="89" spans="1:28" ht="17" thickBot="1" x14ac:dyDescent="0.25">
      <c r="A89" s="9"/>
      <c r="B89" s="9" t="s">
        <v>57</v>
      </c>
      <c r="C89" s="9">
        <f t="shared" ref="C89:M89" si="81">AVERAGE(C86:C88)</f>
        <v>164204.33333333334</v>
      </c>
      <c r="D89" s="9">
        <f t="shared" si="81"/>
        <v>8195.3333333333339</v>
      </c>
      <c r="E89" s="9">
        <f t="shared" si="81"/>
        <v>690.66666666666663</v>
      </c>
      <c r="F89" s="9">
        <f t="shared" si="81"/>
        <v>481.66666666666669</v>
      </c>
      <c r="G89" s="9">
        <f t="shared" si="81"/>
        <v>1179.3333333333333</v>
      </c>
      <c r="H89" s="9">
        <f t="shared" si="81"/>
        <v>51818.666666666664</v>
      </c>
      <c r="I89" s="9">
        <f t="shared" si="81"/>
        <v>47965</v>
      </c>
      <c r="J89" s="9">
        <f t="shared" si="81"/>
        <v>53873.666666666664</v>
      </c>
      <c r="K89" s="9">
        <f t="shared" si="81"/>
        <v>52509.333333333336</v>
      </c>
      <c r="L89" s="9">
        <f t="shared" si="81"/>
        <v>48446.666666666664</v>
      </c>
      <c r="M89" s="9">
        <f t="shared" si="81"/>
        <v>55053</v>
      </c>
    </row>
    <row r="90" spans="1:28" x14ac:dyDescent="0.2">
      <c r="A90" s="11" t="s">
        <v>78</v>
      </c>
      <c r="B90" s="12">
        <v>12</v>
      </c>
      <c r="C90" s="12">
        <v>115261</v>
      </c>
      <c r="D90" s="13">
        <f>C90-E90-F90-G90-H90-I90-J90</f>
        <v>5613</v>
      </c>
      <c r="E90" s="12">
        <v>691</v>
      </c>
      <c r="F90" s="12">
        <v>420</v>
      </c>
      <c r="G90" s="12">
        <v>748</v>
      </c>
      <c r="H90" s="12">
        <v>39845</v>
      </c>
      <c r="I90" s="12">
        <v>36439</v>
      </c>
      <c r="J90" s="12">
        <v>31505</v>
      </c>
      <c r="K90" s="14">
        <f t="shared" ref="K90:M92" si="82">SUM(E90,H90)</f>
        <v>40536</v>
      </c>
      <c r="L90" s="14">
        <f t="shared" si="82"/>
        <v>36859</v>
      </c>
      <c r="M90" s="14">
        <f t="shared" si="82"/>
        <v>32253</v>
      </c>
    </row>
    <row r="91" spans="1:28" x14ac:dyDescent="0.2">
      <c r="A91" s="15" t="s">
        <v>78</v>
      </c>
      <c r="B91" s="9">
        <v>10</v>
      </c>
      <c r="C91" s="9">
        <v>141402</v>
      </c>
      <c r="D91" s="16">
        <f>C91-E91-F91-G91-H91-I91-J91</f>
        <v>5432</v>
      </c>
      <c r="E91" s="9">
        <v>828</v>
      </c>
      <c r="F91" s="9">
        <v>469</v>
      </c>
      <c r="G91" s="9">
        <v>853</v>
      </c>
      <c r="H91" s="9">
        <v>50308</v>
      </c>
      <c r="I91" s="9">
        <v>45998</v>
      </c>
      <c r="J91" s="9">
        <v>37514</v>
      </c>
      <c r="K91" s="17">
        <f t="shared" si="82"/>
        <v>51136</v>
      </c>
      <c r="L91" s="17">
        <f t="shared" si="82"/>
        <v>46467</v>
      </c>
      <c r="M91" s="17">
        <f t="shared" si="82"/>
        <v>38367</v>
      </c>
    </row>
    <row r="92" spans="1:28" ht="17" thickBot="1" x14ac:dyDescent="0.25">
      <c r="A92" s="18" t="s">
        <v>78</v>
      </c>
      <c r="B92" s="19">
        <v>7</v>
      </c>
      <c r="C92" s="19">
        <v>147356</v>
      </c>
      <c r="D92" s="20">
        <f>C92-E92-F92-G92-H92-I92-J92</f>
        <v>4944</v>
      </c>
      <c r="E92" s="19">
        <v>897</v>
      </c>
      <c r="F92" s="19">
        <v>487</v>
      </c>
      <c r="G92" s="19">
        <v>907</v>
      </c>
      <c r="H92" s="19">
        <v>52275</v>
      </c>
      <c r="I92" s="19">
        <v>49028</v>
      </c>
      <c r="J92" s="19">
        <v>38818</v>
      </c>
      <c r="K92" s="21">
        <f t="shared" si="82"/>
        <v>53172</v>
      </c>
      <c r="L92" s="21">
        <f t="shared" si="82"/>
        <v>49515</v>
      </c>
      <c r="M92" s="21">
        <f t="shared" si="82"/>
        <v>39725</v>
      </c>
    </row>
    <row r="93" spans="1:28" ht="17" thickBot="1" x14ac:dyDescent="0.25">
      <c r="A93" s="9"/>
      <c r="B93" s="9" t="s">
        <v>57</v>
      </c>
      <c r="C93" s="9">
        <f t="shared" ref="C93:M93" si="83">AVERAGE(C90:C92)</f>
        <v>134673</v>
      </c>
      <c r="D93" s="9">
        <f t="shared" si="83"/>
        <v>5329.666666666667</v>
      </c>
      <c r="E93" s="9">
        <f t="shared" si="83"/>
        <v>805.33333333333337</v>
      </c>
      <c r="F93" s="9">
        <f t="shared" si="83"/>
        <v>458.66666666666669</v>
      </c>
      <c r="G93" s="9">
        <f t="shared" si="83"/>
        <v>836</v>
      </c>
      <c r="H93" s="9">
        <f t="shared" si="83"/>
        <v>47476</v>
      </c>
      <c r="I93" s="9">
        <f t="shared" si="83"/>
        <v>43821.666666666664</v>
      </c>
      <c r="J93" s="9">
        <f t="shared" si="83"/>
        <v>35945.666666666664</v>
      </c>
      <c r="K93" s="9">
        <f t="shared" si="83"/>
        <v>48281.333333333336</v>
      </c>
      <c r="L93" s="9">
        <f t="shared" si="83"/>
        <v>44280.333333333336</v>
      </c>
      <c r="M93" s="9">
        <f t="shared" si="83"/>
        <v>36781.666666666664</v>
      </c>
    </row>
    <row r="94" spans="1:28" x14ac:dyDescent="0.2">
      <c r="A94" s="11" t="s">
        <v>79</v>
      </c>
      <c r="B94" s="12">
        <v>12</v>
      </c>
      <c r="C94" s="12">
        <v>169888</v>
      </c>
      <c r="D94" s="13">
        <f>C94-E94-F94-G94-H94-I94-J94</f>
        <v>7741</v>
      </c>
      <c r="E94" s="12">
        <v>434</v>
      </c>
      <c r="F94" s="12">
        <v>446</v>
      </c>
      <c r="G94" s="12">
        <v>1831</v>
      </c>
      <c r="H94" s="12">
        <v>40134</v>
      </c>
      <c r="I94" s="12">
        <v>43735</v>
      </c>
      <c r="J94" s="12">
        <v>75567</v>
      </c>
      <c r="K94" s="14">
        <f t="shared" ref="K94:M96" si="84">SUM(E94,H94)</f>
        <v>40568</v>
      </c>
      <c r="L94" s="14">
        <f t="shared" si="84"/>
        <v>44181</v>
      </c>
      <c r="M94" s="14">
        <f t="shared" si="84"/>
        <v>77398</v>
      </c>
    </row>
    <row r="95" spans="1:28" x14ac:dyDescent="0.2">
      <c r="A95" s="15" t="s">
        <v>79</v>
      </c>
      <c r="B95" s="9">
        <v>14</v>
      </c>
      <c r="C95" s="9">
        <v>138542</v>
      </c>
      <c r="D95" s="16">
        <f>C95-E95-F95-G95-H95-I95-J95</f>
        <v>6784</v>
      </c>
      <c r="E95" s="9">
        <v>304</v>
      </c>
      <c r="F95" s="9">
        <v>328</v>
      </c>
      <c r="G95" s="9">
        <v>1442</v>
      </c>
      <c r="H95" s="9">
        <v>30646</v>
      </c>
      <c r="I95" s="9">
        <v>34159</v>
      </c>
      <c r="J95" s="9">
        <v>64879</v>
      </c>
      <c r="K95" s="17">
        <f t="shared" si="84"/>
        <v>30950</v>
      </c>
      <c r="L95" s="17">
        <f t="shared" si="84"/>
        <v>34487</v>
      </c>
      <c r="M95" s="17">
        <f t="shared" si="84"/>
        <v>66321</v>
      </c>
    </row>
    <row r="96" spans="1:28" ht="17" thickBot="1" x14ac:dyDescent="0.25">
      <c r="A96" s="18" t="s">
        <v>79</v>
      </c>
      <c r="B96" s="19">
        <v>10</v>
      </c>
      <c r="C96" s="19">
        <v>175437</v>
      </c>
      <c r="D96" s="20">
        <f>C96-E96-F96-G96-H96-I96-J96</f>
        <v>8366</v>
      </c>
      <c r="E96" s="19">
        <v>545</v>
      </c>
      <c r="F96" s="19">
        <v>539</v>
      </c>
      <c r="G96" s="19">
        <v>1821</v>
      </c>
      <c r="H96" s="19">
        <v>42732</v>
      </c>
      <c r="I96" s="19">
        <v>45656</v>
      </c>
      <c r="J96" s="19">
        <v>75778</v>
      </c>
      <c r="K96" s="21">
        <f t="shared" si="84"/>
        <v>43277</v>
      </c>
      <c r="L96" s="21">
        <f t="shared" si="84"/>
        <v>46195</v>
      </c>
      <c r="M96" s="21">
        <f t="shared" si="84"/>
        <v>77599</v>
      </c>
    </row>
    <row r="97" spans="1:13" ht="17" thickBot="1" x14ac:dyDescent="0.25">
      <c r="A97" s="9"/>
      <c r="B97" s="9" t="s">
        <v>57</v>
      </c>
      <c r="C97" s="9">
        <f t="shared" ref="C97:M97" si="85">AVERAGE(C94:C96)</f>
        <v>161289</v>
      </c>
      <c r="D97" s="9">
        <f t="shared" si="85"/>
        <v>7630.333333333333</v>
      </c>
      <c r="E97" s="9">
        <f t="shared" si="85"/>
        <v>427.66666666666669</v>
      </c>
      <c r="F97" s="9">
        <f t="shared" si="85"/>
        <v>437.66666666666669</v>
      </c>
      <c r="G97" s="9">
        <f t="shared" si="85"/>
        <v>1698</v>
      </c>
      <c r="H97" s="9">
        <f t="shared" si="85"/>
        <v>37837.333333333336</v>
      </c>
      <c r="I97" s="9">
        <f t="shared" si="85"/>
        <v>41183.333333333336</v>
      </c>
      <c r="J97" s="9">
        <f t="shared" si="85"/>
        <v>72074.666666666672</v>
      </c>
      <c r="K97" s="9">
        <f t="shared" si="85"/>
        <v>38265</v>
      </c>
      <c r="L97" s="9">
        <f t="shared" si="85"/>
        <v>41621</v>
      </c>
      <c r="M97" s="9">
        <f t="shared" si="85"/>
        <v>73772.666666666672</v>
      </c>
    </row>
    <row r="98" spans="1:13" x14ac:dyDescent="0.2">
      <c r="A98" s="11" t="s">
        <v>80</v>
      </c>
      <c r="B98" s="12">
        <v>12</v>
      </c>
      <c r="C98" s="12">
        <v>152879</v>
      </c>
      <c r="D98" s="13">
        <f>C98-E98-F98-G98-H98-I98-J98</f>
        <v>8031</v>
      </c>
      <c r="E98" s="12">
        <v>705</v>
      </c>
      <c r="F98" s="12">
        <v>604</v>
      </c>
      <c r="G98" s="12">
        <v>1006</v>
      </c>
      <c r="H98" s="12">
        <v>47939</v>
      </c>
      <c r="I98" s="12">
        <v>51283</v>
      </c>
      <c r="J98" s="12">
        <v>43311</v>
      </c>
      <c r="K98" s="14">
        <f t="shared" ref="K98:M100" si="86">SUM(E98,H98)</f>
        <v>48644</v>
      </c>
      <c r="L98" s="14">
        <f t="shared" si="86"/>
        <v>51887</v>
      </c>
      <c r="M98" s="14">
        <f t="shared" si="86"/>
        <v>44317</v>
      </c>
    </row>
    <row r="99" spans="1:13" x14ac:dyDescent="0.2">
      <c r="A99" s="15" t="s">
        <v>80</v>
      </c>
      <c r="B99" s="9">
        <v>14</v>
      </c>
      <c r="C99" s="9">
        <v>158563</v>
      </c>
      <c r="D99" s="16">
        <f>C99-E99-F99-G99-H99-I99-J99</f>
        <v>6708</v>
      </c>
      <c r="E99" s="9">
        <v>806</v>
      </c>
      <c r="F99" s="9">
        <v>715</v>
      </c>
      <c r="G99" s="9">
        <v>1076</v>
      </c>
      <c r="H99" s="9">
        <v>51880</v>
      </c>
      <c r="I99" s="9">
        <v>52765</v>
      </c>
      <c r="J99" s="9">
        <v>44613</v>
      </c>
      <c r="K99" s="17">
        <f t="shared" si="86"/>
        <v>52686</v>
      </c>
      <c r="L99" s="17">
        <f t="shared" si="86"/>
        <v>53480</v>
      </c>
      <c r="M99" s="17">
        <f t="shared" si="86"/>
        <v>45689</v>
      </c>
    </row>
    <row r="100" spans="1:13" ht="17" thickBot="1" x14ac:dyDescent="0.25">
      <c r="A100" s="18" t="s">
        <v>80</v>
      </c>
      <c r="B100" s="19">
        <v>10</v>
      </c>
      <c r="C100" s="19">
        <v>152124</v>
      </c>
      <c r="D100" s="20">
        <f>C100-E100-F100-G100-H100-I100-J100</f>
        <v>8113</v>
      </c>
      <c r="E100" s="19">
        <v>726</v>
      </c>
      <c r="F100" s="19">
        <v>556</v>
      </c>
      <c r="G100" s="19">
        <v>997</v>
      </c>
      <c r="H100" s="19">
        <v>47980</v>
      </c>
      <c r="I100" s="19">
        <v>50713</v>
      </c>
      <c r="J100" s="19">
        <v>43039</v>
      </c>
      <c r="K100" s="21">
        <f t="shared" si="86"/>
        <v>48706</v>
      </c>
      <c r="L100" s="21">
        <f t="shared" si="86"/>
        <v>51269</v>
      </c>
      <c r="M100" s="21">
        <f t="shared" si="86"/>
        <v>44036</v>
      </c>
    </row>
    <row r="101" spans="1:13" ht="17" thickBot="1" x14ac:dyDescent="0.25">
      <c r="A101" s="9"/>
      <c r="B101" s="9" t="s">
        <v>57</v>
      </c>
      <c r="C101" s="9">
        <f t="shared" ref="C101:M101" si="87">AVERAGE(C98:C100)</f>
        <v>154522</v>
      </c>
      <c r="D101" s="9">
        <f t="shared" si="87"/>
        <v>7617.333333333333</v>
      </c>
      <c r="E101" s="9">
        <f t="shared" si="87"/>
        <v>745.66666666666663</v>
      </c>
      <c r="F101" s="9">
        <f t="shared" si="87"/>
        <v>625</v>
      </c>
      <c r="G101" s="9">
        <f t="shared" si="87"/>
        <v>1026.3333333333333</v>
      </c>
      <c r="H101" s="9">
        <f t="shared" si="87"/>
        <v>49266.333333333336</v>
      </c>
      <c r="I101" s="9">
        <f t="shared" si="87"/>
        <v>51587</v>
      </c>
      <c r="J101" s="9">
        <f t="shared" si="87"/>
        <v>43654.333333333336</v>
      </c>
      <c r="K101" s="9">
        <f t="shared" si="87"/>
        <v>50012</v>
      </c>
      <c r="L101" s="9">
        <f t="shared" si="87"/>
        <v>52212</v>
      </c>
      <c r="M101" s="9">
        <f t="shared" si="87"/>
        <v>44680.666666666664</v>
      </c>
    </row>
    <row r="102" spans="1:13" x14ac:dyDescent="0.2">
      <c r="A102" s="11" t="s">
        <v>81</v>
      </c>
      <c r="B102" s="12">
        <v>12</v>
      </c>
      <c r="C102" s="12">
        <v>94082</v>
      </c>
      <c r="D102" s="13">
        <f>C102-E102-F102-G102-H102-I102-J102</f>
        <v>5455</v>
      </c>
      <c r="E102" s="12">
        <v>412</v>
      </c>
      <c r="F102" s="12">
        <v>78</v>
      </c>
      <c r="G102" s="12">
        <v>602</v>
      </c>
      <c r="H102" s="12">
        <v>40327</v>
      </c>
      <c r="I102" s="12">
        <v>18193</v>
      </c>
      <c r="J102" s="12">
        <v>29015</v>
      </c>
      <c r="K102" s="14">
        <f t="shared" ref="K102:M104" si="88">SUM(E102,H102)</f>
        <v>40739</v>
      </c>
      <c r="L102" s="14">
        <f t="shared" si="88"/>
        <v>18271</v>
      </c>
      <c r="M102" s="14">
        <f t="shared" si="88"/>
        <v>29617</v>
      </c>
    </row>
    <row r="103" spans="1:13" x14ac:dyDescent="0.2">
      <c r="A103" s="15" t="s">
        <v>81</v>
      </c>
      <c r="B103" s="9">
        <v>14</v>
      </c>
      <c r="C103" s="9">
        <v>98789</v>
      </c>
      <c r="D103" s="16">
        <f>C103-E103-F103-G103-H103-I103-J103</f>
        <v>6369</v>
      </c>
      <c r="E103" s="9">
        <v>392</v>
      </c>
      <c r="F103" s="9">
        <v>60</v>
      </c>
      <c r="G103" s="9">
        <v>725</v>
      </c>
      <c r="H103" s="9">
        <v>41820</v>
      </c>
      <c r="I103" s="9">
        <v>16243</v>
      </c>
      <c r="J103" s="9">
        <v>33180</v>
      </c>
      <c r="K103" s="17">
        <f t="shared" si="88"/>
        <v>42212</v>
      </c>
      <c r="L103" s="17">
        <f t="shared" si="88"/>
        <v>16303</v>
      </c>
      <c r="M103" s="17">
        <f t="shared" si="88"/>
        <v>33905</v>
      </c>
    </row>
    <row r="104" spans="1:13" ht="17" thickBot="1" x14ac:dyDescent="0.25">
      <c r="A104" s="18" t="s">
        <v>81</v>
      </c>
      <c r="B104" s="19">
        <v>16</v>
      </c>
      <c r="C104" s="19">
        <v>81559</v>
      </c>
      <c r="D104" s="20">
        <f>C104-E104-F104-G104-H104-I104-J104</f>
        <v>6915</v>
      </c>
      <c r="E104" s="19">
        <v>264</v>
      </c>
      <c r="F104" s="19">
        <v>52</v>
      </c>
      <c r="G104" s="19">
        <v>704</v>
      </c>
      <c r="H104" s="19">
        <v>31374</v>
      </c>
      <c r="I104" s="19">
        <v>11422</v>
      </c>
      <c r="J104" s="19">
        <v>30828</v>
      </c>
      <c r="K104" s="21">
        <f t="shared" si="88"/>
        <v>31638</v>
      </c>
      <c r="L104" s="21">
        <f t="shared" si="88"/>
        <v>11474</v>
      </c>
      <c r="M104" s="21">
        <f t="shared" si="88"/>
        <v>31532</v>
      </c>
    </row>
    <row r="105" spans="1:13" ht="17" thickBot="1" x14ac:dyDescent="0.25">
      <c r="A105" s="9"/>
      <c r="B105" s="9" t="s">
        <v>57</v>
      </c>
      <c r="C105" s="9">
        <f t="shared" ref="C105:M105" si="89">AVERAGE(C102:C104)</f>
        <v>91476.666666666672</v>
      </c>
      <c r="D105" s="9">
        <f t="shared" si="89"/>
        <v>6246.333333333333</v>
      </c>
      <c r="E105" s="9">
        <f t="shared" si="89"/>
        <v>356</v>
      </c>
      <c r="F105" s="9">
        <f t="shared" si="89"/>
        <v>63.333333333333336</v>
      </c>
      <c r="G105" s="9">
        <f t="shared" si="89"/>
        <v>677</v>
      </c>
      <c r="H105" s="9">
        <f t="shared" si="89"/>
        <v>37840.333333333336</v>
      </c>
      <c r="I105" s="9">
        <f t="shared" si="89"/>
        <v>15286</v>
      </c>
      <c r="J105" s="9">
        <f t="shared" si="89"/>
        <v>31007.666666666668</v>
      </c>
      <c r="K105" s="9">
        <f t="shared" si="89"/>
        <v>38196.333333333336</v>
      </c>
      <c r="L105" s="9">
        <f t="shared" si="89"/>
        <v>15349.333333333334</v>
      </c>
      <c r="M105" s="9">
        <f t="shared" si="89"/>
        <v>31684.666666666668</v>
      </c>
    </row>
    <row r="106" spans="1:13" x14ac:dyDescent="0.2">
      <c r="A106" s="11" t="s">
        <v>82</v>
      </c>
      <c r="B106" s="12">
        <v>12</v>
      </c>
      <c r="C106" s="12">
        <v>145375</v>
      </c>
      <c r="D106" s="13">
        <f>C106-E106-F106-G106-H106-I106-J106</f>
        <v>7061</v>
      </c>
      <c r="E106" s="12">
        <v>586</v>
      </c>
      <c r="F106" s="12">
        <v>321</v>
      </c>
      <c r="G106" s="12">
        <v>1332</v>
      </c>
      <c r="H106" s="12">
        <v>46472</v>
      </c>
      <c r="I106" s="12">
        <v>37361</v>
      </c>
      <c r="J106" s="12">
        <v>52242</v>
      </c>
      <c r="K106" s="14">
        <f t="shared" ref="K106:M108" si="90">SUM(E106,H106)</f>
        <v>47058</v>
      </c>
      <c r="L106" s="14">
        <f t="shared" si="90"/>
        <v>37682</v>
      </c>
      <c r="M106" s="14">
        <f t="shared" si="90"/>
        <v>53574</v>
      </c>
    </row>
    <row r="107" spans="1:13" x14ac:dyDescent="0.2">
      <c r="A107" s="15" t="s">
        <v>82</v>
      </c>
      <c r="B107" s="9">
        <v>9</v>
      </c>
      <c r="C107" s="9">
        <v>121748</v>
      </c>
      <c r="D107" s="16">
        <f>C107-E107-F107-G107-H107-I107-J107</f>
        <v>4971</v>
      </c>
      <c r="E107" s="9">
        <v>577</v>
      </c>
      <c r="F107" s="9">
        <v>380</v>
      </c>
      <c r="G107" s="9">
        <v>1025</v>
      </c>
      <c r="H107" s="9">
        <v>41319</v>
      </c>
      <c r="I107" s="9">
        <v>34722</v>
      </c>
      <c r="J107" s="9">
        <v>38754</v>
      </c>
      <c r="K107" s="17">
        <f t="shared" si="90"/>
        <v>41896</v>
      </c>
      <c r="L107" s="17">
        <f t="shared" si="90"/>
        <v>35102</v>
      </c>
      <c r="M107" s="17">
        <f t="shared" si="90"/>
        <v>39779</v>
      </c>
    </row>
    <row r="108" spans="1:13" ht="17" thickBot="1" x14ac:dyDescent="0.25">
      <c r="A108" s="18" t="s">
        <v>82</v>
      </c>
      <c r="B108" s="19">
        <v>15</v>
      </c>
      <c r="C108" s="19">
        <v>69294</v>
      </c>
      <c r="D108" s="20">
        <f>C108-E108-F108-G108-H108-I108-J108</f>
        <v>5454</v>
      </c>
      <c r="E108" s="19">
        <v>145</v>
      </c>
      <c r="F108" s="19">
        <v>85</v>
      </c>
      <c r="G108" s="19">
        <v>913</v>
      </c>
      <c r="H108" s="19">
        <v>16659</v>
      </c>
      <c r="I108" s="19">
        <v>13109</v>
      </c>
      <c r="J108" s="19">
        <v>32929</v>
      </c>
      <c r="K108" s="21">
        <f t="shared" si="90"/>
        <v>16804</v>
      </c>
      <c r="L108" s="21">
        <f t="shared" si="90"/>
        <v>13194</v>
      </c>
      <c r="M108" s="21">
        <f t="shared" si="90"/>
        <v>33842</v>
      </c>
    </row>
    <row r="109" spans="1:13" ht="17" thickBot="1" x14ac:dyDescent="0.25">
      <c r="A109" s="9"/>
      <c r="B109" s="9" t="s">
        <v>57</v>
      </c>
      <c r="C109" s="9">
        <f t="shared" ref="C109:M109" si="91">AVERAGE(C106:C108)</f>
        <v>112139</v>
      </c>
      <c r="D109" s="9">
        <f t="shared" si="91"/>
        <v>5828.666666666667</v>
      </c>
      <c r="E109" s="9">
        <f t="shared" si="91"/>
        <v>436</v>
      </c>
      <c r="F109" s="9">
        <f t="shared" si="91"/>
        <v>262</v>
      </c>
      <c r="G109" s="9">
        <f t="shared" si="91"/>
        <v>1090</v>
      </c>
      <c r="H109" s="9">
        <f t="shared" si="91"/>
        <v>34816.666666666664</v>
      </c>
      <c r="I109" s="9">
        <f t="shared" si="91"/>
        <v>28397.333333333332</v>
      </c>
      <c r="J109" s="9">
        <f t="shared" si="91"/>
        <v>41308.333333333336</v>
      </c>
      <c r="K109" s="9">
        <f t="shared" si="91"/>
        <v>35252.666666666664</v>
      </c>
      <c r="L109" s="9">
        <f t="shared" si="91"/>
        <v>28659.333333333332</v>
      </c>
      <c r="M109" s="9">
        <f t="shared" si="91"/>
        <v>42398.333333333336</v>
      </c>
    </row>
    <row r="110" spans="1:13" x14ac:dyDescent="0.2">
      <c r="A110" s="11" t="s">
        <v>83</v>
      </c>
      <c r="B110" s="12">
        <v>11</v>
      </c>
      <c r="C110" s="12">
        <v>153817</v>
      </c>
      <c r="D110" s="13">
        <f>C110-E110-F110-G110-H110-I110-J110</f>
        <v>5192</v>
      </c>
      <c r="E110" s="12">
        <v>702</v>
      </c>
      <c r="F110" s="12">
        <v>390</v>
      </c>
      <c r="G110" s="12">
        <v>945</v>
      </c>
      <c r="H110" s="12">
        <v>50747</v>
      </c>
      <c r="I110" s="12">
        <v>48522</v>
      </c>
      <c r="J110" s="12">
        <v>47319</v>
      </c>
      <c r="K110" s="14">
        <f t="shared" ref="K110:M112" si="92">SUM(E110,H110)</f>
        <v>51449</v>
      </c>
      <c r="L110" s="14">
        <f t="shared" si="92"/>
        <v>48912</v>
      </c>
      <c r="M110" s="14">
        <f t="shared" si="92"/>
        <v>48264</v>
      </c>
    </row>
    <row r="111" spans="1:13" x14ac:dyDescent="0.2">
      <c r="A111" s="15" t="s">
        <v>83</v>
      </c>
      <c r="B111" s="9">
        <v>13</v>
      </c>
      <c r="C111" s="9">
        <v>139091</v>
      </c>
      <c r="D111" s="16">
        <f>C111-E111-F111-G111-H111-I111-J111</f>
        <v>4421</v>
      </c>
      <c r="E111" s="9">
        <v>653</v>
      </c>
      <c r="F111" s="9">
        <v>341</v>
      </c>
      <c r="G111" s="9">
        <v>839</v>
      </c>
      <c r="H111" s="9">
        <v>46175</v>
      </c>
      <c r="I111" s="9">
        <v>44229</v>
      </c>
      <c r="J111" s="9">
        <v>42433</v>
      </c>
      <c r="K111" s="17">
        <f t="shared" si="92"/>
        <v>46828</v>
      </c>
      <c r="L111" s="17">
        <f t="shared" si="92"/>
        <v>44570</v>
      </c>
      <c r="M111" s="17">
        <f t="shared" si="92"/>
        <v>43272</v>
      </c>
    </row>
    <row r="112" spans="1:13" ht="17" thickBot="1" x14ac:dyDescent="0.25">
      <c r="A112" s="18" t="s">
        <v>83</v>
      </c>
      <c r="B112" s="19">
        <v>8</v>
      </c>
      <c r="C112" s="19">
        <v>177261</v>
      </c>
      <c r="D112" s="20">
        <f>C112-E112-F112-G112-H112-I112-J112</f>
        <v>7556</v>
      </c>
      <c r="E112" s="19">
        <v>788</v>
      </c>
      <c r="F112" s="19">
        <v>388</v>
      </c>
      <c r="G112" s="19">
        <v>1124</v>
      </c>
      <c r="H112" s="19">
        <v>57967</v>
      </c>
      <c r="I112" s="19">
        <v>54882</v>
      </c>
      <c r="J112" s="19">
        <v>54556</v>
      </c>
      <c r="K112" s="21">
        <f t="shared" si="92"/>
        <v>58755</v>
      </c>
      <c r="L112" s="21">
        <f t="shared" si="92"/>
        <v>55270</v>
      </c>
      <c r="M112" s="21">
        <f t="shared" si="92"/>
        <v>55680</v>
      </c>
    </row>
    <row r="113" spans="1:13" ht="17" thickBot="1" x14ac:dyDescent="0.25">
      <c r="A113" s="9"/>
      <c r="B113" s="9" t="s">
        <v>57</v>
      </c>
      <c r="C113" s="9">
        <f t="shared" ref="C113:M113" si="93">AVERAGE(C110:C112)</f>
        <v>156723</v>
      </c>
      <c r="D113" s="9">
        <f t="shared" si="93"/>
        <v>5723</v>
      </c>
      <c r="E113" s="9">
        <f t="shared" si="93"/>
        <v>714.33333333333337</v>
      </c>
      <c r="F113" s="9">
        <f t="shared" si="93"/>
        <v>373</v>
      </c>
      <c r="G113" s="9">
        <f t="shared" si="93"/>
        <v>969.33333333333337</v>
      </c>
      <c r="H113" s="9">
        <f t="shared" si="93"/>
        <v>51629.666666666664</v>
      </c>
      <c r="I113" s="9">
        <f t="shared" si="93"/>
        <v>49211</v>
      </c>
      <c r="J113" s="9">
        <f t="shared" si="93"/>
        <v>48102.666666666664</v>
      </c>
      <c r="K113" s="9">
        <f t="shared" si="93"/>
        <v>52344</v>
      </c>
      <c r="L113" s="9">
        <f t="shared" si="93"/>
        <v>49584</v>
      </c>
      <c r="M113" s="9">
        <f t="shared" si="93"/>
        <v>49072</v>
      </c>
    </row>
    <row r="114" spans="1:13" x14ac:dyDescent="0.2">
      <c r="A114" s="11" t="s">
        <v>84</v>
      </c>
      <c r="B114" s="12">
        <v>11</v>
      </c>
      <c r="C114" s="12">
        <v>203716</v>
      </c>
      <c r="D114" s="13">
        <f>C114-E114-F114-G114-H114-I114-J114</f>
        <v>7649</v>
      </c>
      <c r="E114" s="12">
        <v>664</v>
      </c>
      <c r="F114" s="12">
        <v>717</v>
      </c>
      <c r="G114" s="12">
        <v>1790</v>
      </c>
      <c r="H114" s="12">
        <v>58205</v>
      </c>
      <c r="I114" s="12">
        <v>60382</v>
      </c>
      <c r="J114" s="12">
        <v>74309</v>
      </c>
      <c r="K114" s="14">
        <f t="shared" ref="K114:M116" si="94">SUM(E114,H114)</f>
        <v>58869</v>
      </c>
      <c r="L114" s="14">
        <f t="shared" si="94"/>
        <v>61099</v>
      </c>
      <c r="M114" s="14">
        <f t="shared" si="94"/>
        <v>76099</v>
      </c>
    </row>
    <row r="115" spans="1:13" x14ac:dyDescent="0.2">
      <c r="A115" s="15" t="s">
        <v>84</v>
      </c>
      <c r="B115" s="9">
        <v>14</v>
      </c>
      <c r="C115" s="9">
        <v>49716</v>
      </c>
      <c r="D115" s="16">
        <f>C115-E115-F115-G115-H115-I115-J115</f>
        <v>5784</v>
      </c>
      <c r="E115" s="9">
        <v>156</v>
      </c>
      <c r="F115" s="9">
        <v>167</v>
      </c>
      <c r="G115" s="9">
        <v>357</v>
      </c>
      <c r="H115" s="9">
        <v>13582</v>
      </c>
      <c r="I115" s="9">
        <v>13115</v>
      </c>
      <c r="J115" s="9">
        <v>16555</v>
      </c>
      <c r="K115" s="17">
        <f t="shared" si="94"/>
        <v>13738</v>
      </c>
      <c r="L115" s="17">
        <f t="shared" si="94"/>
        <v>13282</v>
      </c>
      <c r="M115" s="17">
        <f t="shared" si="94"/>
        <v>16912</v>
      </c>
    </row>
    <row r="116" spans="1:13" ht="17" thickBot="1" x14ac:dyDescent="0.25">
      <c r="A116" s="18" t="s">
        <v>84</v>
      </c>
      <c r="B116" s="19">
        <v>9</v>
      </c>
      <c r="C116" s="19">
        <v>53327</v>
      </c>
      <c r="D116" s="20">
        <f>C116-E116-F116-G116-H116-I116-J116</f>
        <v>7535</v>
      </c>
      <c r="E116" s="19">
        <v>208</v>
      </c>
      <c r="F116" s="19">
        <v>175</v>
      </c>
      <c r="G116" s="19">
        <v>424</v>
      </c>
      <c r="H116" s="19">
        <v>14842</v>
      </c>
      <c r="I116" s="19">
        <v>14290</v>
      </c>
      <c r="J116" s="19">
        <v>15853</v>
      </c>
      <c r="K116" s="21">
        <f t="shared" si="94"/>
        <v>15050</v>
      </c>
      <c r="L116" s="21">
        <f t="shared" si="94"/>
        <v>14465</v>
      </c>
      <c r="M116" s="21">
        <f t="shared" si="94"/>
        <v>16277</v>
      </c>
    </row>
    <row r="117" spans="1:13" ht="17" thickBot="1" x14ac:dyDescent="0.25">
      <c r="A117" s="9"/>
      <c r="B117" s="9" t="s">
        <v>57</v>
      </c>
      <c r="C117" s="9">
        <f t="shared" ref="C117:M117" si="95">AVERAGE(C114:C116)</f>
        <v>102253</v>
      </c>
      <c r="D117" s="9">
        <f t="shared" si="95"/>
        <v>6989.333333333333</v>
      </c>
      <c r="E117" s="9">
        <f t="shared" si="95"/>
        <v>342.66666666666669</v>
      </c>
      <c r="F117" s="9">
        <f t="shared" si="95"/>
        <v>353</v>
      </c>
      <c r="G117" s="9">
        <f t="shared" si="95"/>
        <v>857</v>
      </c>
      <c r="H117" s="9">
        <f t="shared" si="95"/>
        <v>28876.333333333332</v>
      </c>
      <c r="I117" s="9">
        <f t="shared" si="95"/>
        <v>29262.333333333332</v>
      </c>
      <c r="J117" s="9">
        <f t="shared" si="95"/>
        <v>35572.333333333336</v>
      </c>
      <c r="K117" s="9">
        <f t="shared" si="95"/>
        <v>29219</v>
      </c>
      <c r="L117" s="9">
        <f t="shared" si="95"/>
        <v>29615.333333333332</v>
      </c>
      <c r="M117" s="9">
        <f t="shared" si="95"/>
        <v>36429.333333333336</v>
      </c>
    </row>
    <row r="118" spans="1:13" x14ac:dyDescent="0.2">
      <c r="A118" s="11" t="s">
        <v>85</v>
      </c>
      <c r="B118" s="12">
        <v>13</v>
      </c>
      <c r="C118" s="12">
        <v>217426</v>
      </c>
      <c r="D118" s="13">
        <f>C118-E118-F118-G118-H118-I118-J118</f>
        <v>6719</v>
      </c>
      <c r="E118" s="12">
        <v>900</v>
      </c>
      <c r="F118" s="12">
        <v>496</v>
      </c>
      <c r="G118" s="12">
        <v>1162</v>
      </c>
      <c r="H118" s="12">
        <v>75125</v>
      </c>
      <c r="I118" s="12">
        <v>71539</v>
      </c>
      <c r="J118" s="12">
        <v>61485</v>
      </c>
      <c r="K118" s="14">
        <f t="shared" ref="K118:M120" si="96">SUM(E118,H118)</f>
        <v>76025</v>
      </c>
      <c r="L118" s="14">
        <f t="shared" si="96"/>
        <v>72035</v>
      </c>
      <c r="M118" s="14">
        <f t="shared" si="96"/>
        <v>62647</v>
      </c>
    </row>
    <row r="119" spans="1:13" x14ac:dyDescent="0.2">
      <c r="A119" s="15" t="s">
        <v>85</v>
      </c>
      <c r="B119" s="9">
        <v>16</v>
      </c>
      <c r="C119" s="9">
        <v>141158</v>
      </c>
      <c r="D119" s="16">
        <f>C119-E119-F119-G119-H119-I119-J119</f>
        <v>6062</v>
      </c>
      <c r="E119" s="9">
        <v>484</v>
      </c>
      <c r="F119" s="9">
        <v>254</v>
      </c>
      <c r="G119" s="9">
        <v>645</v>
      </c>
      <c r="H119" s="9">
        <v>47933</v>
      </c>
      <c r="I119" s="9">
        <v>46996</v>
      </c>
      <c r="J119" s="9">
        <v>38784</v>
      </c>
      <c r="K119" s="17">
        <f t="shared" si="96"/>
        <v>48417</v>
      </c>
      <c r="L119" s="17">
        <f t="shared" si="96"/>
        <v>47250</v>
      </c>
      <c r="M119" s="17">
        <f t="shared" si="96"/>
        <v>39429</v>
      </c>
    </row>
    <row r="120" spans="1:13" ht="17" thickBot="1" x14ac:dyDescent="0.25">
      <c r="A120" s="18" t="s">
        <v>85</v>
      </c>
      <c r="B120" s="19">
        <v>10</v>
      </c>
      <c r="C120" s="19">
        <v>175649</v>
      </c>
      <c r="D120" s="20">
        <f>C120-E120-F120-G120-H120-I120-J120</f>
        <v>5593</v>
      </c>
      <c r="E120" s="19">
        <v>771</v>
      </c>
      <c r="F120" s="19">
        <v>506</v>
      </c>
      <c r="G120" s="19">
        <v>841</v>
      </c>
      <c r="H120" s="19">
        <v>60850</v>
      </c>
      <c r="I120" s="19">
        <v>58972</v>
      </c>
      <c r="J120" s="19">
        <v>48116</v>
      </c>
      <c r="K120" s="21">
        <f t="shared" si="96"/>
        <v>61621</v>
      </c>
      <c r="L120" s="21">
        <f t="shared" si="96"/>
        <v>59478</v>
      </c>
      <c r="M120" s="21">
        <f t="shared" si="96"/>
        <v>48957</v>
      </c>
    </row>
    <row r="121" spans="1:13" ht="17" thickBot="1" x14ac:dyDescent="0.25">
      <c r="A121" s="9"/>
      <c r="B121" s="9" t="s">
        <v>57</v>
      </c>
      <c r="C121" s="9">
        <f t="shared" ref="C121:M121" si="97">AVERAGE(C118:C120)</f>
        <v>178077.66666666666</v>
      </c>
      <c r="D121" s="9">
        <f t="shared" si="97"/>
        <v>6124.666666666667</v>
      </c>
      <c r="E121" s="9">
        <f t="shared" si="97"/>
        <v>718.33333333333337</v>
      </c>
      <c r="F121" s="9">
        <f t="shared" si="97"/>
        <v>418.66666666666669</v>
      </c>
      <c r="G121" s="9">
        <f t="shared" si="97"/>
        <v>882.66666666666663</v>
      </c>
      <c r="H121" s="9">
        <f t="shared" si="97"/>
        <v>61302.666666666664</v>
      </c>
      <c r="I121" s="9">
        <f t="shared" si="97"/>
        <v>59169</v>
      </c>
      <c r="J121" s="9">
        <f t="shared" si="97"/>
        <v>49461.666666666664</v>
      </c>
      <c r="K121" s="9">
        <f t="shared" si="97"/>
        <v>62021</v>
      </c>
      <c r="L121" s="9">
        <f t="shared" si="97"/>
        <v>59587.666666666664</v>
      </c>
      <c r="M121" s="9">
        <f t="shared" si="97"/>
        <v>50344.333333333336</v>
      </c>
    </row>
    <row r="122" spans="1:13" x14ac:dyDescent="0.2">
      <c r="A122" s="11" t="s">
        <v>86</v>
      </c>
      <c r="B122" s="12">
        <v>11</v>
      </c>
      <c r="C122" s="12">
        <v>181353</v>
      </c>
      <c r="D122" s="13">
        <f>C122-E122-F122-G122-H122-I122-J122</f>
        <v>5831</v>
      </c>
      <c r="E122" s="12">
        <v>649</v>
      </c>
      <c r="F122" s="12">
        <v>608</v>
      </c>
      <c r="G122" s="12">
        <v>1206</v>
      </c>
      <c r="H122" s="12">
        <v>54663</v>
      </c>
      <c r="I122" s="12">
        <v>62949</v>
      </c>
      <c r="J122" s="12">
        <v>55447</v>
      </c>
      <c r="K122" s="14">
        <f t="shared" ref="K122:M124" si="98">SUM(E122,H122)</f>
        <v>55312</v>
      </c>
      <c r="L122" s="14">
        <f t="shared" si="98"/>
        <v>63557</v>
      </c>
      <c r="M122" s="14">
        <f t="shared" si="98"/>
        <v>56653</v>
      </c>
    </row>
    <row r="123" spans="1:13" x14ac:dyDescent="0.2">
      <c r="A123" s="15" t="s">
        <v>86</v>
      </c>
      <c r="B123" s="9">
        <v>13</v>
      </c>
      <c r="C123" s="9">
        <v>157806</v>
      </c>
      <c r="D123" s="16">
        <f>C123-E123-F123-G123-H123-I123-J123</f>
        <v>4883</v>
      </c>
      <c r="E123" s="9">
        <v>575</v>
      </c>
      <c r="F123" s="9">
        <v>590</v>
      </c>
      <c r="G123" s="9">
        <v>920</v>
      </c>
      <c r="H123" s="9">
        <v>51667</v>
      </c>
      <c r="I123" s="9">
        <v>55737</v>
      </c>
      <c r="J123" s="9">
        <v>43434</v>
      </c>
      <c r="K123" s="17">
        <f t="shared" si="98"/>
        <v>52242</v>
      </c>
      <c r="L123" s="17">
        <f t="shared" si="98"/>
        <v>56327</v>
      </c>
      <c r="M123" s="17">
        <f t="shared" si="98"/>
        <v>44354</v>
      </c>
    </row>
    <row r="124" spans="1:13" ht="17" thickBot="1" x14ac:dyDescent="0.25">
      <c r="A124" s="18" t="s">
        <v>86</v>
      </c>
      <c r="B124" s="19">
        <v>8</v>
      </c>
      <c r="C124" s="19">
        <v>158174</v>
      </c>
      <c r="D124" s="20">
        <f>C124-E124-F124-G124-H124-I124-J124</f>
        <v>5870</v>
      </c>
      <c r="E124" s="19">
        <v>538</v>
      </c>
      <c r="F124" s="19">
        <v>690</v>
      </c>
      <c r="G124" s="19">
        <v>1184</v>
      </c>
      <c r="H124" s="19">
        <v>44551</v>
      </c>
      <c r="I124" s="19">
        <v>54874</v>
      </c>
      <c r="J124" s="19">
        <v>50467</v>
      </c>
      <c r="K124" s="21">
        <f t="shared" si="98"/>
        <v>45089</v>
      </c>
      <c r="L124" s="21">
        <f t="shared" si="98"/>
        <v>55564</v>
      </c>
      <c r="M124" s="21">
        <f t="shared" si="98"/>
        <v>51651</v>
      </c>
    </row>
    <row r="125" spans="1:13" x14ac:dyDescent="0.2">
      <c r="A125" s="9"/>
      <c r="B125" s="9" t="s">
        <v>57</v>
      </c>
      <c r="C125" s="9">
        <f t="shared" ref="C125:M125" si="99">AVERAGE(C122:C124)</f>
        <v>165777.66666666666</v>
      </c>
      <c r="D125" s="9">
        <f t="shared" si="99"/>
        <v>5528</v>
      </c>
      <c r="E125" s="9">
        <f t="shared" si="99"/>
        <v>587.33333333333337</v>
      </c>
      <c r="F125" s="9">
        <f t="shared" si="99"/>
        <v>629.33333333333337</v>
      </c>
      <c r="G125" s="9">
        <f t="shared" si="99"/>
        <v>1103.3333333333333</v>
      </c>
      <c r="H125" s="9">
        <f t="shared" si="99"/>
        <v>50293.666666666664</v>
      </c>
      <c r="I125" s="9">
        <f t="shared" si="99"/>
        <v>57853.333333333336</v>
      </c>
      <c r="J125" s="9">
        <f t="shared" si="99"/>
        <v>49782.666666666664</v>
      </c>
      <c r="K125" s="9">
        <f t="shared" si="99"/>
        <v>50881</v>
      </c>
      <c r="L125" s="9">
        <f t="shared" si="99"/>
        <v>58482.666666666664</v>
      </c>
      <c r="M125" s="9">
        <f t="shared" si="99"/>
        <v>50886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GRZ_MasterSheet</vt:lpstr>
      <vt:lpstr>ZMZ_MasterSheet</vt:lpstr>
      <vt:lpstr>Master Sheet DEset1</vt:lpstr>
      <vt:lpstr>Master Sheet DEset2</vt:lpstr>
      <vt:lpstr>Deset1_Graphpad</vt:lpstr>
      <vt:lpstr>Raw QuPath DEset1</vt:lpstr>
      <vt:lpstr>Deset2_Graphpad</vt:lpstr>
      <vt:lpstr>Raw QuPath DEset2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Rapheal Williams</dc:creator>
  <cp:keywords/>
  <dc:description/>
  <cp:lastModifiedBy>Berenice A. Benayoun</cp:lastModifiedBy>
  <cp:revision/>
  <dcterms:created xsi:type="dcterms:W3CDTF">2025-11-07T23:49:13Z</dcterms:created>
  <dcterms:modified xsi:type="dcterms:W3CDTF">2026-01-23T19:21:14Z</dcterms:modified>
  <cp:category/>
  <cp:contentStatus/>
</cp:coreProperties>
</file>